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Z2025" sheetId="1" r:id="rId3"/>
    <sheet name="工作表1" sheetId="2" r:id="rId4"/>
    <sheet name="Z2024" sheetId="3" r:id="rId5"/>
    <sheet name="Z2024年" sheetId="4" r:id="rId6"/>
    <sheet name="Z2023年" sheetId="5" r:id="rId7"/>
  </sheets>
  <calcPr/>
</workbook>
</file>

<file path=xl/sharedStrings.xml><?xml version="1.0" encoding="utf-8"?>
<sst xmlns="http://schemas.openxmlformats.org/spreadsheetml/2006/main" count="52" uniqueCount="52">
  <si>
    <t/>
  </si>
  <si>
    <t>今年总计收入</t>
  </si>
  <si>
    <t>亮年总计</t>
  </si>
  <si>
    <t>三人平均年总计</t>
  </si>
  <si>
    <t>本月合计</t>
  </si>
  <si>
    <t>一月份</t>
  </si>
  <si>
    <t>截止本月平均月收入</t>
  </si>
  <si>
    <t>亮月平均</t>
  </si>
  <si>
    <t>三人月平均</t>
  </si>
  <si>
    <t>收入状况（支出使用负数）</t>
  </si>
  <si>
    <t>实际到账金额</t>
  </si>
  <si>
    <t>张明亮京东分成</t>
  </si>
  <si>
    <t>三人平均收入</t>
  </si>
  <si>
    <t>股东人</t>
  </si>
  <si>
    <t>红色括号为转出</t>
  </si>
  <si>
    <t>某宝应收（支付宝）</t>
  </si>
  <si>
    <t>崔紫阳</t>
  </si>
  <si>
    <t>崔海亮</t>
  </si>
  <si>
    <t>崔小易</t>
  </si>
  <si>
    <t>张明亮</t>
  </si>
  <si>
    <t>其他账号</t>
  </si>
  <si>
    <t>某宝</t>
  </si>
  <si>
    <t>二月份</t>
  </si>
  <si>
    <t>三月份</t>
  </si>
  <si>
    <t>三月报税</t>
  </si>
  <si>
    <t>四月份</t>
  </si>
  <si>
    <t>五月份</t>
  </si>
  <si>
    <t>六月份</t>
  </si>
  <si>
    <t>七月份</t>
  </si>
  <si>
    <t>八月份</t>
  </si>
  <si>
    <t>九月份</t>
  </si>
  <si>
    <t>十月份</t>
  </si>
  <si>
    <t>十一月份</t>
  </si>
  <si>
    <t>十二月份</t>
  </si>
  <si>
    <t>崔子阳</t>
  </si>
  <si>
    <t>收入占比</t>
  </si>
  <si>
    <t>收入账户</t>
  </si>
  <si>
    <t>京东合计收入</t>
  </si>
  <si>
    <t>三人实际收入</t>
  </si>
  <si>
    <t>应收入</t>
  </si>
  <si>
    <t>黑色转入红色转出</t>
  </si>
  <si>
    <t>某宝收入</t>
  </si>
  <si>
    <t>实际应到手收入</t>
  </si>
  <si>
    <t>张明亮今年总计收入</t>
  </si>
  <si>
    <t>三人平均今年总计收入</t>
  </si>
  <si>
    <t>京粉账号</t>
  </si>
  <si>
    <t>小达</t>
  </si>
  <si>
    <t>实际退税</t>
  </si>
  <si>
    <t xml:space="preserve">七月份
</t>
  </si>
  <si>
    <t>合计</t>
  </si>
  <si>
    <t>三人平均月收入</t>
  </si>
  <si>
    <t>张凯风</t>
  </si>
</sst>
</file>

<file path=xl/styles.xml><?xml version="1.0" encoding="utf-8"?>
<styleSheet xmlns="http://schemas.openxmlformats.org/spreadsheetml/2006/main">
  <numFmts count="6">
    <numFmt numFmtId="300" formatCode="0.00_);[Red]\(0.00\)"/>
    <numFmt numFmtId="301" formatCode="0.0_);[Red]\(0.0\)"/>
    <numFmt numFmtId="302" formatCode="0.00_);[Red](0.00)"/>
    <numFmt numFmtId="303" formatCode="0_ "/>
    <numFmt numFmtId="304" formatCode="0_);[Red](0)"/>
    <numFmt numFmtId="305" formatCode="0.0_);[Red](0.0)"/>
  </numFmts>
  <fonts count="2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20"/>
    </font>
    <font>
      <b val="1"/>
      <color rgb="FF000000"/>
      <sz val="20"/>
    </font>
    <font>
      <b val="1"/>
      <color rgb="FFFFFF00"/>
      <sz val="20"/>
    </font>
    <font>
      <b val="1"/>
      <sz val="20"/>
    </font>
    <font>
      <sz val="48"/>
    </font>
    <font>
      <b val="1"/>
      <sz val="12"/>
    </font>
    <font>
      <color rgb="FFFF0000"/>
      <sz val="20"/>
    </font>
    <font>
      <b val="1"/>
      <color rgb="FFFF0000"/>
      <sz val="12"/>
    </font>
    <font>
      <color rgb="FFFF0000"/>
      <sz val="18"/>
    </font>
    <font>
      <b val="1"/>
      <color rgb="FF000000"/>
      <sz val="10"/>
    </font>
    <font>
      <b val="1"/>
      <color rgb="FF000000"/>
      <sz val="12"/>
    </font>
    <font>
      <b val="1"/>
      <color rgb="FFFFFFFF"/>
    </font>
    <font>
      <color rgb="FFFFFFFF"/>
    </font>
    <font>
      <sz val="16"/>
    </font>
    <font>
      <b val="1"/>
      <sz val="16"/>
    </font>
    <font>
      <b val="1"/>
      <color rgb="FF353B45"/>
      <sz val="16"/>
    </font>
    <font>
      <b val="1"/>
      <color rgb="FFFF0000"/>
      <sz val="16"/>
    </font>
    <font>
      <b val="1"/>
      <sz val="18"/>
    </font>
    <font>
      <b val="1"/>
    </font>
    <font>
      <b val="1"/>
      <sz val="8"/>
    </font>
    <font>
      <b val="1"/>
      <color rgb="FF000000"/>
      <sz val="16"/>
    </font>
    <font>
      <color rgb="FFFFFFFF"/>
      <sz val="10"/>
    </font>
    <font>
      <b val="1"/>
      <sz val="14"/>
    </font>
    <font/>
    <font>
      <sz val="10"/>
    </font>
    <font/>
  </fonts>
  <fills count="5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  <bgColor auto="1"/>
      </patternFill>
    </fill>
    <fill>
      <patternFill patternType="solid">
        <fgColor rgb="FFF5C400"/>
        <bgColor auto="1"/>
      </patternFill>
    </fill>
    <fill>
      <patternFill patternType="solid">
        <fgColor rgb="FFE5EFFF"/>
        <bgColor auto="1"/>
      </patternFill>
    </fill>
    <fill>
      <patternFill patternType="solid">
        <fgColor rgb="FFFFFFFF"/>
      </patternFill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99BEFF"/>
      </patternFill>
    </fill>
    <fill>
      <patternFill patternType="solid">
        <fgColor rgb="FFFDEBFF"/>
        <bgColor auto="1"/>
      </patternFill>
    </fill>
    <fill>
      <patternFill patternType="solid">
        <fgColor rgb="FFC7DCFF"/>
        <bgColor auto="1"/>
      </patternFill>
    </fill>
    <fill>
      <patternFill patternType="solid">
        <fgColor rgb="FF99BEFF"/>
      </patternFill>
    </fill>
    <fill>
      <patternFill patternType="solid">
        <fgColor rgb="FF98D7B6"/>
      </patternFill>
    </fill>
    <fill>
      <patternFill patternType="solid">
        <fgColor rgb="FFA5A5A5"/>
      </patternFill>
    </fill>
    <fill>
      <patternFill patternType="solid">
        <fgColor rgb="FFBFBFBF"/>
      </patternFill>
    </fill>
    <fill>
      <patternFill patternType="solid">
        <fgColor rgb="FFD8D8D8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F88825"/>
      </patternFill>
    </fill>
    <fill>
      <patternFill patternType="solid">
        <fgColor rgb="FF99DDFF"/>
        <bgColor auto="1"/>
      </patternFill>
    </fill>
    <fill>
      <patternFill patternType="solid">
        <fgColor rgb="FF99DDFF"/>
        <bgColor auto="1"/>
      </patternFill>
    </fill>
    <fill>
      <patternFill patternType="solid">
        <fgColor rgb="FFFFC9C7"/>
        <bgColor auto="1"/>
      </patternFill>
    </fill>
    <fill>
      <patternFill patternType="solid">
        <fgColor rgb="FFFFC9C7"/>
        <bgColor auto="1"/>
      </patternFill>
    </fill>
    <fill>
      <patternFill patternType="solid">
        <fgColor rgb="FF99BEFF"/>
        <bgColor auto="1"/>
      </patternFill>
    </fill>
    <fill>
      <patternFill patternType="solid">
        <fgColor rgb="FF98D7B6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BFBFBF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E5EFFF"/>
        <bgColor auto="1"/>
      </patternFill>
    </fill>
    <fill>
      <patternFill patternType="solid">
        <fgColor rgb="FFFDEBFF"/>
        <bgColor auto="1"/>
      </patternFill>
    </fill>
    <fill>
      <patternFill patternType="solid">
        <fgColor rgb="FFC7DCFF"/>
        <bgColor auto="1"/>
      </patternFill>
    </fill>
    <fill>
      <patternFill patternType="solid">
        <fgColor rgb="FF98D7B6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BFBFBF"/>
        <bgColor auto="1"/>
      </patternFill>
    </fill>
    <fill>
      <patternFill patternType="solid">
        <fgColor rgb="FFF88825"/>
      </patternFill>
    </fill>
    <fill>
      <patternFill patternType="solid">
        <fgColor rgb="FF99BEFF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88825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F5C400"/>
        <bgColor auto="1"/>
      </patternFill>
    </fill>
    <fill>
      <patternFill/>
    </fill>
    <fill>
      <patternFill patternType="solid">
        <fgColor rgb="FF00A3F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9C99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F2C7FF"/>
        <bgColor auto="1"/>
      </patternFill>
    </fill>
    <fill>
      <patternFill patternType="solid">
        <fgColor rgb="FFFFDCC4"/>
        <bgColor auto="1"/>
      </patternFill>
    </fill>
    <fill/>
    <fill>
      <patternFill/>
    </fill>
    <fill>
      <patternFill patternType="solid">
        <fgColor rgb="FF99BEFF"/>
      </patternFill>
    </fill>
    <fill>
      <patternFill patternType="solid">
        <fgColor rgb="FF99BEFF"/>
      </patternFill>
    </fill>
    <fill/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>
    <xf fontId="0" fillId="0" borderId="0" xfId="0">
      <alignment vertical="center"/>
    </xf>
  </cellStyleXfs>
  <cellXfs count="3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fontId="3" fillId="0" borderId="0" xfId="0">
      <alignment horizontal="center" vertical="center"/>
    </xf>
    <xf numFmtId="300" fontId="3" fillId="0" borderId="0" xfId="0">
      <alignment horizontal="center" vertical="center"/>
    </xf>
    <xf fontId="4" fillId="2" borderId="0" xfId="0">
      <alignment horizontal="center" vertical="center"/>
    </xf>
    <xf fontId="5" fillId="3" borderId="0" xfId="0">
      <alignment horizontal="center" vertical="center"/>
    </xf>
    <xf numFmtId="0" fontId="6" fillId="4" borderId="0" xfId="0">
      <alignment horizontal="center" vertical="center"/>
    </xf>
    <xf numFmtId="300" fontId="6" fillId="5" borderId="0" xfId="0">
      <alignment horizontal="center" vertical="center"/>
    </xf>
    <xf fontId="4" fillId="6" borderId="0" xfId="0">
      <alignment horizontal="center" vertical="center"/>
    </xf>
    <xf numFmtId="0" fontId="0" fillId="0" borderId="0" xfId="0">
      <alignment vertical="center"/>
    </xf>
    <xf fontId="6" fillId="7" borderId="0" xfId="0">
      <alignment horizontal="center"/>
    </xf>
    <xf fontId="7" fillId="7" borderId="0" xfId="0">
      <alignment horizontal="center" vertical="center"/>
    </xf>
    <xf fontId="8" fillId="7" borderId="0" xfId="0">
      <alignment horizontal="center" vertical="center"/>
    </xf>
    <xf fontId="8" fillId="8" borderId="0" xfId="0">
      <alignment horizontal="center" vertical="center"/>
    </xf>
    <xf fontId="9" fillId="7" borderId="0" xfId="0">
      <alignment horizontal="center" vertical="center"/>
    </xf>
    <xf fontId="10" fillId="7" borderId="0" xfId="0">
      <alignment horizontal="center" vertical="center"/>
    </xf>
    <xf fontId="11" fillId="7" borderId="0" xfId="0">
      <alignment horizontal="center" vertical="center"/>
    </xf>
    <xf fontId="10" fillId="8" borderId="0" xfId="0">
      <alignment horizontal="center" vertical="center"/>
    </xf>
    <xf fontId="12" fillId="9" borderId="0" xfId="0">
      <alignment horizontal="center" vertical="center"/>
    </xf>
    <xf fontId="13" fillId="9" borderId="0" xfId="0">
      <alignment horizontal="center" vertical="center"/>
    </xf>
    <xf fontId="14" fillId="10" borderId="0" xfId="0">
      <alignment horizontal="center" vertical="center"/>
    </xf>
    <xf numFmtId="300" fontId="15" fillId="0" borderId="0" xfId="0">
      <alignment vertical="center"/>
    </xf>
    <xf fontId="16" fillId="11" borderId="0" xfId="0">
      <alignment horizontal="center" vertical="center"/>
    </xf>
    <xf fontId="17" fillId="11" borderId="0" xfId="0">
      <alignment horizontal="center" vertical="center"/>
    </xf>
    <xf fontId="17" fillId="5" borderId="0" xfId="0">
      <alignment horizontal="center" vertical="center"/>
    </xf>
    <xf fontId="17" fillId="12" borderId="0" xfId="0">
      <alignment horizontal="center" vertical="center"/>
    </xf>
    <xf numFmtId="301" fontId="17" fillId="11" borderId="0" xfId="0">
      <alignment horizontal="center" vertical="center"/>
    </xf>
    <xf numFmtId="301" fontId="17" fillId="13" borderId="0" xfId="0">
      <alignment horizontal="center" vertical="center"/>
    </xf>
    <xf fontId="0" fillId="14" borderId="0" xfId="0">
      <alignment horizontal="center" vertical="center"/>
    </xf>
    <xf numFmtId="300" fontId="0" fillId="0" borderId="0" xfId="0">
      <alignment vertical="center"/>
    </xf>
    <xf fontId="16" fillId="15" borderId="0" xfId="0">
      <alignment horizontal="center" vertical="center"/>
    </xf>
    <xf fontId="17" fillId="15" borderId="0" xfId="0">
      <alignment horizontal="center" vertical="center"/>
    </xf>
    <xf numFmtId="301" fontId="17" fillId="15" borderId="0" xfId="0">
      <alignment horizontal="center" vertical="center"/>
    </xf>
    <xf fontId="16" fillId="16" borderId="0" xfId="0">
      <alignment horizontal="center" vertical="center"/>
    </xf>
    <xf fontId="17" fillId="16" borderId="0" xfId="0">
      <alignment horizontal="center" vertical="center"/>
    </xf>
    <xf fontId="16" fillId="17" borderId="0" xfId="0">
      <alignment horizontal="center" vertical="center"/>
    </xf>
    <xf numFmtId="301" fontId="17" fillId="17" borderId="0" xfId="0">
      <alignment horizontal="center" vertical="center"/>
    </xf>
    <xf fontId="16" fillId="18" borderId="0" xfId="0">
      <alignment horizontal="center" vertical="center"/>
    </xf>
    <xf numFmtId="301" fontId="18" fillId="18" borderId="0" xfId="0">
      <alignment horizontal="center" vertical="center"/>
    </xf>
    <xf numFmtId="301" fontId="19" fillId="18" borderId="0" xfId="0">
      <alignment horizontal="center" vertical="center"/>
    </xf>
    <xf fontId="16" fillId="19" borderId="0" xfId="0">
      <alignment horizontal="center" vertical="center"/>
    </xf>
    <xf fontId="17" fillId="19" borderId="0" xfId="0">
      <alignment horizontal="center" vertical="center"/>
    </xf>
    <xf numFmtId="302" fontId="16" fillId="19" borderId="0" xfId="0">
      <alignment horizontal="center" vertical="center"/>
    </xf>
    <xf fontId="3" fillId="20" borderId="0" xfId="0">
      <alignment/>
    </xf>
    <xf fontId="6" fillId="21" borderId="0" xfId="0">
      <alignment horizontal="center"/>
    </xf>
    <xf fontId="9" fillId="22" borderId="0" xfId="0">
      <alignment horizontal="center" vertical="center"/>
    </xf>
    <xf fontId="11" fillId="8" borderId="0" xfId="0">
      <alignment horizontal="center" vertical="center"/>
    </xf>
    <xf fontId="12" fillId="23" borderId="0" xfId="0">
      <alignment horizontal="center" vertical="center"/>
    </xf>
    <xf fontId="13" fillId="23" borderId="0" xfId="0">
      <alignment horizontal="center" vertical="center"/>
    </xf>
    <xf fontId="13" fillId="24" borderId="0" xfId="0">
      <alignment horizontal="center" vertical="center"/>
    </xf>
    <xf fontId="16" fillId="25" borderId="0" xfId="0">
      <alignment horizontal="center" vertical="center"/>
    </xf>
    <xf fontId="17" fillId="25" borderId="0" xfId="0">
      <alignment horizontal="center" vertical="center"/>
    </xf>
    <xf numFmtId="301" fontId="17" fillId="25" borderId="0" xfId="0">
      <alignment horizontal="center" vertical="center"/>
    </xf>
    <xf fontId="16" fillId="26" borderId="0" xfId="0">
      <alignment horizontal="center" vertical="center"/>
    </xf>
    <xf fontId="17" fillId="26" borderId="0" xfId="0">
      <alignment horizontal="center" vertical="center"/>
    </xf>
    <xf numFmtId="301" fontId="17" fillId="26" borderId="0" xfId="0">
      <alignment horizontal="center" vertical="center"/>
    </xf>
    <xf fontId="16" fillId="27" borderId="0" xfId="0">
      <alignment horizontal="center" vertical="center"/>
    </xf>
    <xf fontId="17" fillId="27" borderId="0" xfId="0">
      <alignment horizontal="center" vertical="center"/>
    </xf>
    <xf fontId="16" fillId="28" borderId="0" xfId="0">
      <alignment horizontal="center" vertical="center"/>
    </xf>
    <xf numFmtId="301" fontId="17" fillId="28" borderId="0" xfId="0">
      <alignment horizontal="center" vertical="center"/>
    </xf>
    <xf fontId="16" fillId="29" borderId="0" xfId="0">
      <alignment horizontal="center" vertical="center"/>
    </xf>
    <xf numFmtId="301" fontId="18" fillId="29" borderId="0" xfId="0">
      <alignment horizontal="center" vertical="center"/>
    </xf>
    <xf numFmtId="301" fontId="19" fillId="29" borderId="0" xfId="0">
      <alignment horizontal="center" vertical="center"/>
    </xf>
    <xf fontId="16" fillId="30" borderId="0" xfId="0">
      <alignment horizontal="center" vertical="center"/>
    </xf>
    <xf fontId="20" fillId="11" borderId="0" xfId="0">
      <alignment horizontal="center" vertical="center"/>
    </xf>
    <xf fontId="12" fillId="24" borderId="0" xfId="0">
      <alignment horizontal="center" vertical="center"/>
    </xf>
    <xf fontId="17" fillId="31" borderId="0" xfId="0">
      <alignment horizontal="center" vertical="center"/>
    </xf>
    <xf fontId="17" fillId="32" borderId="0" xfId="0">
      <alignment horizontal="center" vertical="center"/>
    </xf>
    <xf numFmtId="301" fontId="17" fillId="33" borderId="0" xfId="0">
      <alignment horizontal="center" vertical="center"/>
    </xf>
    <xf fontId="17" fillId="30" borderId="0" xfId="0">
      <alignment horizontal="center" vertical="center"/>
    </xf>
    <xf numFmtId="302" fontId="16" fillId="30" borderId="0" xfId="0">
      <alignment horizontal="center" vertical="center"/>
    </xf>
    <xf fontId="6" fillId="22" borderId="0" xfId="0">
      <alignment horizontal="center"/>
    </xf>
    <xf fontId="7" fillId="8" borderId="0" xfId="0">
      <alignment horizontal="center" vertical="center"/>
    </xf>
    <xf fontId="16" fillId="34" borderId="0" xfId="0">
      <alignment horizontal="center" vertical="center"/>
    </xf>
    <xf numFmtId="301" fontId="17" fillId="34" borderId="0" xfId="0">
      <alignment horizontal="center" vertical="center"/>
    </xf>
    <xf fontId="17" fillId="35" borderId="0" xfId="0">
      <alignment horizontal="center" vertical="center"/>
    </xf>
    <xf fontId="16" fillId="36" borderId="0" xfId="0">
      <alignment horizontal="center" vertical="center"/>
    </xf>
    <xf numFmtId="301" fontId="17" fillId="36" borderId="0" xfId="0">
      <alignment horizontal="center" vertical="center"/>
    </xf>
    <xf fontId="3" fillId="37" borderId="0" xfId="0">
      <alignment/>
    </xf>
    <xf fontId="16" fillId="38" borderId="0" xfId="0">
      <alignment horizontal="center" vertical="center"/>
    </xf>
    <xf fontId="17" fillId="38" borderId="0" xfId="0">
      <alignment horizontal="center" vertical="center"/>
    </xf>
    <xf numFmtId="301" fontId="17" fillId="38" borderId="0" xfId="0">
      <alignment horizontal="center" vertical="center"/>
    </xf>
    <xf fontId="3" fillId="37" borderId="0" xfId="0">
      <alignment vertical="center"/>
    </xf>
    <xf fontId="3" fillId="0" borderId="0" xfId="0">
      <alignment horizontal="center" vertical="center" textRotation="0"/>
    </xf>
    <xf fontId="3" fillId="0" borderId="0" xfId="0">
      <alignment horizontal="center" vertical="center" textRotation="0" indent="0" justifyLastLine="0" shrinkToFit="0"/>
    </xf>
    <xf numFmtId="302" fontId="3" fillId="0" borderId="0" xfId="0">
      <alignment horizontal="center" vertical="center" textRotation="0" indent="0" justifyLastLine="0" shrinkToFit="0"/>
    </xf>
    <xf fontId="0" fillId="0" borderId="0" xfId="0">
      <alignment horizontal="center" vertical="center" textRotation="0" indent="0" justifyLastLine="0" shrinkToFit="0"/>
    </xf>
    <xf fontId="6" fillId="0" borderId="0" xfId="0">
      <alignment horizontal="center" vertical="center"/>
    </xf>
    <xf numFmtId="303" fontId="5" fillId="3" borderId="0" xfId="0">
      <alignment horizontal="center" vertical="center" textRotation="0"/>
    </xf>
    <xf numFmtId="303" fontId="5" fillId="3" borderId="0" xfId="0">
      <alignment horizontal="center" vertical="center" textRotation="0" indent="0" justifyLastLine="0" shrinkToFit="0"/>
    </xf>
    <xf numFmtId="303" fontId="6" fillId="4" borderId="0" xfId="0">
      <alignment horizontal="center" vertical="center" textRotation="0" indent="0" justifyLastLine="0" shrinkToFit="0"/>
    </xf>
    <xf numFmtId="304" fontId="6" fillId="31" borderId="0" xfId="0">
      <alignment horizontal="center" vertical="center" textRotation="0" indent="0" justifyLastLine="0" shrinkToFit="0"/>
    </xf>
    <xf fontId="6" fillId="22" borderId="0" xfId="0">
      <alignment horizontal="center" vertical="bottom" textRotation="0" indent="0" justifyLastLine="0" shrinkToFit="0"/>
    </xf>
    <xf fontId="7" fillId="22" borderId="0" xfId="0">
      <alignment horizontal="center" vertical="center" textRotation="0" indent="0" justifyLastLine="0" shrinkToFit="0"/>
    </xf>
    <xf fontId="8" fillId="22" borderId="0" xfId="0">
      <alignment horizontal="center" vertical="center" textRotation="0"/>
    </xf>
    <xf fontId="8" fillId="22" borderId="0" xfId="0">
      <alignment horizontal="center" vertical="center" textRotation="0" indent="0" justifyLastLine="0" shrinkToFit="0"/>
    </xf>
    <xf fontId="8" fillId="39" borderId="0" xfId="0">
      <alignment horizontal="center" vertical="center" textRotation="0" indent="0" justifyLastLine="0" shrinkToFit="0"/>
    </xf>
    <xf fontId="9" fillId="22" borderId="0" xfId="0">
      <alignment horizontal="center" vertical="center" textRotation="0" indent="0" justifyLastLine="0" shrinkToFit="0"/>
    </xf>
    <xf numFmtId="303" fontId="10" fillId="22" borderId="0" xfId="0">
      <alignment horizontal="center" vertical="center" textRotation="0"/>
    </xf>
    <xf numFmtId="303" fontId="10" fillId="22" borderId="0" xfId="0">
      <alignment horizontal="center" vertical="center" textRotation="0" indent="0" justifyLastLine="0" shrinkToFit="0"/>
    </xf>
    <xf numFmtId="303" fontId="11" fillId="22" borderId="0" xfId="0">
      <alignment horizontal="center" vertical="center" textRotation="0" indent="0" justifyLastLine="0" shrinkToFit="0"/>
    </xf>
    <xf numFmtId="303" fontId="10" fillId="39" borderId="0" xfId="0">
      <alignment horizontal="center" vertical="center" textRotation="0" indent="0" justifyLastLine="0" shrinkToFit="0"/>
    </xf>
    <xf fontId="21" fillId="23" borderId="0" xfId="0">
      <alignment horizontal="center" vertical="center" textRotation="0" indent="0" justifyLastLine="0" shrinkToFit="0"/>
    </xf>
    <xf fontId="8" fillId="23" borderId="0" xfId="0">
      <alignment horizontal="center" vertical="center" textRotation="0" indent="0" justifyLastLine="0" shrinkToFit="0"/>
    </xf>
    <xf fontId="22" fillId="23" borderId="0" xfId="0">
      <alignment horizontal="center" vertical="center" textRotation="0" indent="0" justifyLastLine="0" shrinkToFit="0"/>
    </xf>
    <xf fontId="0" fillId="23" borderId="0" xfId="0">
      <alignment horizontal="center" vertical="center" textRotation="0" indent="0" justifyLastLine="0" shrinkToFit="0"/>
    </xf>
    <xf fontId="0" fillId="23" borderId="0" xfId="0">
      <alignment horizontal="center" vertical="center"/>
    </xf>
    <xf fontId="16" fillId="25" borderId="0" xfId="0">
      <alignment horizontal="center" vertical="center" textRotation="0" indent="0" justifyLastLine="0" shrinkToFit="0"/>
    </xf>
    <xf fontId="17" fillId="25" borderId="0" xfId="0">
      <alignment horizontal="center" vertical="center" textRotation="0" indent="0" justifyLastLine="0" shrinkToFit="0"/>
    </xf>
    <xf fontId="17" fillId="31" borderId="0" xfId="0">
      <alignment horizontal="center" vertical="center" textRotation="0" indent="0" justifyLastLine="0" shrinkToFit="0"/>
    </xf>
    <xf fontId="17" fillId="32" borderId="0" xfId="0">
      <alignment horizontal="center" vertical="center" textRotation="0" indent="0" justifyLastLine="0" shrinkToFit="0"/>
    </xf>
    <xf numFmtId="305" fontId="17" fillId="39" borderId="0" xfId="0">
      <alignment horizontal="center" vertical="center" textRotation="0" indent="0" justifyLastLine="0" shrinkToFit="0"/>
    </xf>
    <xf numFmtId="305" fontId="17" fillId="33" borderId="0" xfId="0">
      <alignment horizontal="center" vertical="center" textRotation="0" indent="0" justifyLastLine="0" shrinkToFit="0"/>
    </xf>
    <xf fontId="8" fillId="25" borderId="0" xfId="0">
      <alignment horizontal="center" vertical="center" textRotation="0" indent="0" justifyLastLine="0" shrinkToFit="0"/>
    </xf>
    <xf fontId="0" fillId="25" borderId="0" xfId="0">
      <alignment horizontal="center" vertical="center"/>
    </xf>
    <xf fontId="16" fillId="26" borderId="0" xfId="0">
      <alignment horizontal="center" vertical="center" textRotation="0" indent="0" justifyLastLine="0" shrinkToFit="0"/>
    </xf>
    <xf fontId="17" fillId="26" borderId="0" xfId="0">
      <alignment horizontal="center" vertical="center" textRotation="0"/>
    </xf>
    <xf numFmtId="305" fontId="23" fillId="39" borderId="0" xfId="0">
      <alignment horizontal="center" vertical="center" textRotation="0" indent="0" justifyLastLine="0" shrinkToFit="0"/>
    </xf>
    <xf fontId="16" fillId="27" borderId="0" xfId="0">
      <alignment horizontal="center" vertical="center" textRotation="0" indent="0" justifyLastLine="0" shrinkToFit="0"/>
    </xf>
    <xf fontId="17" fillId="27" borderId="0" xfId="0">
      <alignment horizontal="center" vertical="center" textRotation="0" indent="0" justifyLastLine="0" shrinkToFit="0"/>
    </xf>
    <xf numFmtId="305" fontId="19" fillId="29" borderId="0" xfId="0">
      <alignment horizontal="center" vertical="center" textRotation="0" indent="0" justifyLastLine="0" shrinkToFit="0"/>
    </xf>
    <xf fontId="16" fillId="29" borderId="0" xfId="0">
      <alignment horizontal="center" vertical="center" textRotation="0" indent="0" justifyLastLine="0" shrinkToFit="0"/>
    </xf>
    <xf numFmtId="305" fontId="17" fillId="39" borderId="0" xfId="0">
      <alignment horizontal="center" vertical="center"/>
    </xf>
    <xf numFmtId="305" fontId="19" fillId="39" borderId="0" xfId="0">
      <alignment horizontal="center" vertical="center" textRotation="0" indent="0" justifyLastLine="0" shrinkToFit="0"/>
    </xf>
    <xf numFmtId="305" fontId="19" fillId="29" borderId="0" xfId="0">
      <alignment horizontal="center" vertical="center"/>
    </xf>
    <xf fontId="16" fillId="30" borderId="0" xfId="0">
      <alignment horizontal="center" vertical="center" textRotation="0" indent="0" justifyLastLine="0" shrinkToFit="0"/>
    </xf>
    <xf fontId="17" fillId="30" borderId="0" xfId="0">
      <alignment horizontal="center" vertical="center" textRotation="0" indent="0" justifyLastLine="0" shrinkToFit="0"/>
    </xf>
    <xf fontId="3" fillId="40" borderId="0" xfId="0">
      <alignment horizontal="center" vertical="center"/>
    </xf>
    <xf fontId="8" fillId="22" borderId="0" xfId="0">
      <alignment horizontal="center" vertical="center" textRotation="0" justifyLastLine="0" shrinkToFit="0"/>
    </xf>
    <xf fontId="8" fillId="39" borderId="0" xfId="0">
      <alignment horizontal="center" vertical="center" textRotation="0" justifyLastLine="0" shrinkToFit="0"/>
    </xf>
    <xf numFmtId="303" fontId="11" fillId="22" borderId="0" xfId="0">
      <alignment horizontal="center" vertical="center" textRotation="0" justifyLastLine="0" shrinkToFit="0"/>
    </xf>
    <xf numFmtId="303" fontId="10" fillId="39" borderId="0" xfId="0">
      <alignment horizontal="center" vertical="center" textRotation="0" justifyLastLine="0" shrinkToFit="0"/>
    </xf>
    <xf fontId="16" fillId="25" borderId="0" xfId="0">
      <alignment horizontal="center" vertical="center" textRotation="0" justifyLastLine="0" shrinkToFit="0"/>
    </xf>
    <xf numFmtId="305" fontId="17" fillId="39" borderId="0" xfId="0">
      <alignment horizontal="center" vertical="center" textRotation="0" justifyLastLine="0" shrinkToFit="0"/>
    </xf>
    <xf numFmtId="305" fontId="17" fillId="33" borderId="0" xfId="0">
      <alignment horizontal="center" vertical="center" textRotation="0" justifyLastLine="0" shrinkToFit="0"/>
    </xf>
    <xf fontId="0" fillId="0" borderId="0" xfId="0">
      <alignment horizontal="center" vertical="center"/>
    </xf>
    <xf fontId="3" fillId="0" borderId="0" xfId="0">
      <alignment horizontal="center" vertical="center"/>
    </xf>
    <xf numFmtId="300" fontId="3" fillId="0" borderId="0" xfId="0">
      <alignment horizontal="center" vertical="center"/>
    </xf>
    <xf fontId="4" fillId="2" borderId="0" xfId="0">
      <alignment horizontal="center" vertical="center"/>
    </xf>
    <xf fontId="5" fillId="3" borderId="0" xfId="0">
      <alignment horizontal="center" vertical="center"/>
    </xf>
    <xf numFmtId="0" fontId="6" fillId="4" borderId="0" xfId="0">
      <alignment horizontal="center" vertical="center"/>
    </xf>
    <xf numFmtId="300" fontId="6" fillId="5" borderId="0" xfId="0">
      <alignment horizontal="center" vertical="center"/>
    </xf>
    <xf fontId="4" fillId="6" borderId="0" xfId="0">
      <alignment horizontal="center" vertical="center"/>
    </xf>
    <xf numFmtId="0" fontId="0" fillId="0" borderId="0" xfId="0">
      <alignment vertical="center"/>
    </xf>
    <xf fontId="6" fillId="7" borderId="0" xfId="0">
      <alignment horizontal="center"/>
    </xf>
    <xf fontId="7" fillId="7" borderId="0" xfId="0">
      <alignment horizontal="center" vertical="center"/>
    </xf>
    <xf fontId="8" fillId="7" borderId="0" xfId="0">
      <alignment horizontal="center" vertical="center"/>
    </xf>
    <xf fontId="8" fillId="8" borderId="0" xfId="0">
      <alignment horizontal="center" vertical="center"/>
    </xf>
    <xf fontId="9" fillId="7" borderId="0" xfId="0">
      <alignment horizontal="center" vertical="center"/>
    </xf>
    <xf fontId="10" fillId="7" borderId="0" xfId="0">
      <alignment horizontal="center" vertical="center"/>
    </xf>
    <xf numFmtId="303" fontId="11" fillId="7" borderId="0" xfId="0">
      <alignment horizontal="center" vertical="center"/>
    </xf>
    <xf numFmtId="303" fontId="10" fillId="8" borderId="0" xfId="0">
      <alignment horizontal="center" vertical="center"/>
    </xf>
    <xf fontId="12" fillId="9" borderId="0" xfId="0">
      <alignment horizontal="center" vertical="center"/>
    </xf>
    <xf fontId="13" fillId="9" borderId="0" xfId="0">
      <alignment horizontal="center" vertical="center"/>
    </xf>
    <xf fontId="14" fillId="10" borderId="0" xfId="0">
      <alignment horizontal="center" vertical="center"/>
    </xf>
    <xf numFmtId="300" fontId="15" fillId="0" borderId="0" xfId="0">
      <alignment vertical="center"/>
    </xf>
    <xf fontId="16" fillId="11" borderId="0" xfId="0">
      <alignment horizontal="center" vertical="center"/>
    </xf>
    <xf fontId="17" fillId="11" borderId="0" xfId="0">
      <alignment horizontal="center" vertical="center"/>
    </xf>
    <xf fontId="17" fillId="5" borderId="0" xfId="0">
      <alignment horizontal="center" vertical="center"/>
    </xf>
    <xf fontId="17" fillId="12" borderId="0" xfId="0">
      <alignment horizontal="center" vertical="center"/>
    </xf>
    <xf numFmtId="301" fontId="17" fillId="11" borderId="0" xfId="0">
      <alignment horizontal="center" vertical="center"/>
    </xf>
    <xf numFmtId="301" fontId="17" fillId="13" borderId="0" xfId="0">
      <alignment horizontal="center" vertical="center"/>
    </xf>
    <xf fontId="0" fillId="14" borderId="0" xfId="0">
      <alignment horizontal="center" vertical="center"/>
    </xf>
    <xf numFmtId="300" fontId="0" fillId="0" borderId="0" xfId="0">
      <alignment vertical="center"/>
    </xf>
    <xf fontId="16" fillId="15" borderId="0" xfId="0">
      <alignment horizontal="center" vertical="center"/>
    </xf>
    <xf fontId="17" fillId="15" borderId="0" xfId="0">
      <alignment horizontal="center" vertical="center"/>
    </xf>
    <xf numFmtId="301" fontId="17" fillId="15" borderId="0" xfId="0">
      <alignment horizontal="center" vertical="center"/>
    </xf>
    <xf fontId="16" fillId="16" borderId="0" xfId="0">
      <alignment horizontal="center" vertical="center"/>
    </xf>
    <xf fontId="17" fillId="16" borderId="0" xfId="0">
      <alignment horizontal="center" vertical="center"/>
    </xf>
    <xf fontId="16" fillId="17" borderId="0" xfId="0">
      <alignment horizontal="center" vertical="center"/>
    </xf>
    <xf numFmtId="301" fontId="17" fillId="17" borderId="0" xfId="0">
      <alignment horizontal="center" vertical="center"/>
    </xf>
    <xf fontId="16" fillId="18" borderId="0" xfId="0">
      <alignment horizontal="center" vertical="center"/>
    </xf>
    <xf numFmtId="301" fontId="18" fillId="18" borderId="0" xfId="0">
      <alignment horizontal="center" vertical="center"/>
    </xf>
    <xf numFmtId="301" fontId="19" fillId="18" borderId="0" xfId="0">
      <alignment horizontal="center" vertical="center"/>
    </xf>
    <xf fontId="16" fillId="19" borderId="0" xfId="0">
      <alignment horizontal="center" vertical="center"/>
    </xf>
    <xf fontId="17" fillId="19" borderId="0" xfId="0">
      <alignment horizontal="center" vertical="center"/>
    </xf>
    <xf numFmtId="302" fontId="16" fillId="19" borderId="0" xfId="0">
      <alignment horizontal="center" vertical="center"/>
    </xf>
    <xf fontId="3" fillId="20" borderId="0" xfId="0">
      <alignment/>
    </xf>
    <xf fontId="6" fillId="21" borderId="0" xfId="0">
      <alignment horizontal="center"/>
    </xf>
    <xf fontId="9" fillId="22" borderId="0" xfId="0">
      <alignment horizontal="center" vertical="center"/>
    </xf>
    <xf fontId="12" fillId="23" borderId="0" xfId="0">
      <alignment horizontal="center" vertical="center"/>
    </xf>
    <xf fontId="13" fillId="23" borderId="0" xfId="0">
      <alignment horizontal="center" vertical="center"/>
    </xf>
    <xf fontId="13" fillId="24" borderId="0" xfId="0">
      <alignment horizontal="center" vertical="center"/>
    </xf>
    <xf fontId="16" fillId="25" borderId="0" xfId="0">
      <alignment horizontal="center" vertical="center"/>
    </xf>
    <xf fontId="17" fillId="25" borderId="0" xfId="0">
      <alignment horizontal="center" vertical="center"/>
    </xf>
    <xf numFmtId="301" fontId="17" fillId="25" borderId="0" xfId="0">
      <alignment horizontal="center" vertical="center"/>
    </xf>
    <xf fontId="16" fillId="26" borderId="0" xfId="0">
      <alignment horizontal="center" vertical="center"/>
    </xf>
    <xf fontId="17" fillId="26" borderId="0" xfId="0">
      <alignment horizontal="center" vertical="center"/>
    </xf>
    <xf numFmtId="301" fontId="17" fillId="26" borderId="0" xfId="0">
      <alignment horizontal="center" vertical="center"/>
    </xf>
    <xf fontId="16" fillId="27" borderId="0" xfId="0">
      <alignment horizontal="center" vertical="center"/>
    </xf>
    <xf fontId="17" fillId="27" borderId="0" xfId="0">
      <alignment horizontal="center" vertical="center"/>
    </xf>
    <xf fontId="16" fillId="28" borderId="0" xfId="0">
      <alignment horizontal="center" vertical="center"/>
    </xf>
    <xf numFmtId="301" fontId="17" fillId="28" borderId="0" xfId="0">
      <alignment horizontal="center" vertical="center"/>
    </xf>
    <xf fontId="16" fillId="29" borderId="0" xfId="0">
      <alignment horizontal="center" vertical="center"/>
    </xf>
    <xf numFmtId="301" fontId="18" fillId="29" borderId="0" xfId="0">
      <alignment horizontal="center" vertical="center"/>
    </xf>
    <xf numFmtId="301" fontId="19" fillId="29" borderId="0" xfId="0">
      <alignment horizontal="center" vertical="center"/>
    </xf>
    <xf fontId="16" fillId="30" borderId="0" xfId="0">
      <alignment horizontal="center" vertical="center"/>
    </xf>
    <xf fontId="20" fillId="11" borderId="0" xfId="0">
      <alignment horizontal="center" vertical="center"/>
    </xf>
    <xf fontId="20" fillId="11" borderId="0" xfId="0">
      <alignment vertical="center"/>
    </xf>
    <xf fontId="12" fillId="24" borderId="0" xfId="0">
      <alignment horizontal="center" vertical="center"/>
    </xf>
    <xf fontId="17" fillId="31" borderId="0" xfId="0">
      <alignment horizontal="center" vertical="center"/>
    </xf>
    <xf fontId="17" fillId="32" borderId="0" xfId="0">
      <alignment horizontal="center" vertical="center"/>
    </xf>
    <xf numFmtId="301" fontId="17" fillId="33" borderId="0" xfId="0">
      <alignment horizontal="center" vertical="center"/>
    </xf>
    <xf fontId="17" fillId="30" borderId="0" xfId="0">
      <alignment horizontal="center" vertical="center"/>
    </xf>
    <xf numFmtId="302" fontId="16" fillId="30" borderId="0" xfId="0">
      <alignment horizontal="center" vertical="center"/>
    </xf>
    <xf fontId="6" fillId="22" borderId="0" xfId="0">
      <alignment horizontal="center"/>
    </xf>
    <xf fontId="7" fillId="8" borderId="0" xfId="0">
      <alignment horizontal="center" vertical="center"/>
    </xf>
    <xf fontId="10" fillId="8" borderId="0" xfId="0">
      <alignment horizontal="center" vertical="center"/>
    </xf>
    <xf fontId="11" fillId="7" borderId="0" xfId="0">
      <alignment horizontal="center" vertical="center"/>
    </xf>
    <xf fontId="16" fillId="34" borderId="0" xfId="0">
      <alignment horizontal="center" vertical="center"/>
    </xf>
    <xf numFmtId="301" fontId="17" fillId="34" borderId="0" xfId="0">
      <alignment horizontal="center" vertical="center"/>
    </xf>
    <xf fontId="17" fillId="35" borderId="0" xfId="0">
      <alignment horizontal="center" vertical="center"/>
    </xf>
    <xf fontId="16" fillId="36" borderId="0" xfId="0">
      <alignment horizontal="center" vertical="center"/>
    </xf>
    <xf numFmtId="301" fontId="17" fillId="36" borderId="0" xfId="0">
      <alignment horizontal="center" vertical="center"/>
    </xf>
    <xf fontId="3" fillId="37" borderId="0" xfId="0">
      <alignment/>
    </xf>
    <xf fontId="11" fillId="8" borderId="0" xfId="0">
      <alignment horizontal="center" vertical="center"/>
    </xf>
    <xf fontId="16" fillId="38" borderId="0" xfId="0">
      <alignment horizontal="center" vertical="center"/>
    </xf>
    <xf fontId="17" fillId="38" borderId="0" xfId="0">
      <alignment horizontal="center" vertical="center"/>
    </xf>
    <xf numFmtId="301" fontId="17" fillId="38" borderId="0" xfId="0">
      <alignment horizontal="center" vertical="center"/>
    </xf>
    <xf fontId="3" fillId="37" borderId="0" xfId="0">
      <alignment vertical="center"/>
    </xf>
    <xf numFmtId="0" fontId="16" fillId="29" borderId="0" xfId="0">
      <alignment horizontal="center" vertical="center"/>
    </xf>
    <xf fontId="0" fillId="0" borderId="0" xfId="0">
      <alignment vertical="center"/>
    </xf>
    <xf fontId="6" fillId="0" borderId="0" xfId="0">
      <alignment vertical="center"/>
    </xf>
    <xf numFmtId="300" fontId="6" fillId="0" borderId="0" xfId="0">
      <alignment vertical="center"/>
    </xf>
    <xf fontId="6" fillId="41" borderId="1" xfId="0">
      <alignment horizontal="center" vertical="center"/>
    </xf>
    <xf fontId="0" fillId="0" borderId="1" xfId="0">
      <alignment vertical="center"/>
    </xf>
    <xf fontId="5" fillId="42" borderId="1" xfId="0">
      <alignment vertical="center"/>
    </xf>
    <xf fontId="6" fillId="43" borderId="1" xfId="0">
      <alignment vertical="center"/>
    </xf>
    <xf numFmtId="300" fontId="6" fillId="5" borderId="1" xfId="0">
      <alignment horizontal="center" vertical="center"/>
    </xf>
    <xf fontId="15" fillId="42" borderId="0" xfId="0">
      <alignment vertical="center"/>
    </xf>
    <xf fontId="24" fillId="42" borderId="0" xfId="0">
      <alignment vertical="center"/>
    </xf>
    <xf fontId="15" fillId="44" borderId="0" xfId="0">
      <alignment vertical="center"/>
    </xf>
    <xf numFmtId="300" fontId="15" fillId="44" borderId="0" xfId="0">
      <alignment vertical="center"/>
    </xf>
    <xf fontId="15" fillId="44" borderId="0" xfId="0">
      <alignment vertical="center"/>
    </xf>
    <xf fontId="0" fillId="13" borderId="0" xfId="0">
      <alignment vertical="center"/>
    </xf>
    <xf fontId="21" fillId="45" borderId="0" xfId="0">
      <alignment vertical="center"/>
    </xf>
    <xf fontId="21" fillId="5" borderId="1" xfId="0">
      <alignment vertical="center"/>
    </xf>
    <xf fontId="21" fillId="12" borderId="1" xfId="0">
      <alignment vertical="center"/>
    </xf>
    <xf numFmtId="301" fontId="25" fillId="13" borderId="0" xfId="0">
      <alignment vertical="center"/>
    </xf>
    <xf numFmtId="301" fontId="25" fillId="13" borderId="1" xfId="0">
      <alignment vertical="center"/>
    </xf>
    <xf fontId="0" fillId="44" borderId="0" xfId="0">
      <alignment vertical="center"/>
    </xf>
    <xf numFmtId="300" fontId="0" fillId="44" borderId="0" xfId="0">
      <alignment vertical="center"/>
    </xf>
    <xf fontId="0" fillId="46" borderId="0" xfId="0">
      <alignment vertical="center"/>
    </xf>
    <xf fontId="0" fillId="47" borderId="0" xfId="0">
      <alignment vertical="center"/>
    </xf>
    <xf numFmtId="301" fontId="25" fillId="47" borderId="0" xfId="0">
      <alignment vertical="center"/>
    </xf>
    <xf fontId="0" fillId="18" borderId="1" xfId="0">
      <alignment vertical="center"/>
    </xf>
    <xf fontId="0" fillId="18" borderId="0" xfId="0">
      <alignment vertical="center"/>
    </xf>
    <xf numFmtId="301" fontId="18" fillId="18" borderId="0" xfId="0">
      <alignment vertical="center"/>
    </xf>
    <xf numFmtId="301" fontId="19" fillId="18" borderId="0" xfId="0">
      <alignment vertical="center"/>
    </xf>
    <xf fontId="0" fillId="19" borderId="0" xfId="0">
      <alignment vertical="center"/>
    </xf>
    <xf fontId="25" fillId="19" borderId="0" xfId="0">
      <alignment vertical="center"/>
    </xf>
    <xf numFmtId="302" fontId="0" fillId="19" borderId="0" xfId="0">
      <alignment vertical="center"/>
    </xf>
    <xf fontId="6" fillId="48" borderId="0" xfId="0">
      <alignment horizontal="center" vertical="center"/>
    </xf>
    <xf fontId="26" fillId="44" borderId="1" xfId="0">
      <alignment vertical="center"/>
    </xf>
    <xf numFmtId="0" fontId="21" fillId="45" borderId="0" xfId="0">
      <alignment vertical="center"/>
    </xf>
    <xf fontId="21" fillId="5" borderId="0" xfId="0">
      <alignment vertical="center"/>
    </xf>
    <xf fontId="21" fillId="12" borderId="0" xfId="0">
      <alignment vertical="center"/>
    </xf>
    <xf fontId="26" fillId="18" borderId="0" xfId="0">
      <alignment vertical="center"/>
    </xf>
    <xf fontId="26" fillId="19" borderId="1" xfId="0">
      <alignment vertical="center"/>
    </xf>
    <xf fontId="25" fillId="19" borderId="1" xfId="0">
      <alignment vertical="center"/>
    </xf>
    <xf fontId="25" fillId="49" borderId="1" xfId="0">
      <alignment vertical="center"/>
    </xf>
    <xf fontId="25" fillId="50" borderId="1" xfId="0">
      <alignment vertical="center"/>
    </xf>
    <xf fontId="0" fillId="19" borderId="1" xfId="0">
      <alignment vertical="center"/>
    </xf>
    <xf numFmtId="302" fontId="0" fillId="19" borderId="1" xfId="0">
      <alignment vertical="center"/>
    </xf>
    <xf fontId="0" fillId="18" borderId="1" xfId="0">
      <alignment vertical="center"/>
    </xf>
    <xf numFmtId="301" fontId="17" fillId="0" borderId="0" xfId="0">
      <alignment vertical="center"/>
    </xf>
    <xf fontId="26" fillId="44" borderId="0" xfId="0">
      <alignment vertical="center"/>
    </xf>
    <xf fontId="27" fillId="44" borderId="0" xfId="0">
      <alignment vertical="center"/>
    </xf>
    <xf fontId="26" fillId="44" borderId="0" xfId="0">
      <alignment horizontal="right"/>
    </xf>
    <xf numFmtId="0" fontId="26" fillId="51" borderId="1" xfId="0">
      <alignment vertical="center"/>
    </xf>
    <xf fontId="6" fillId="48" borderId="1" xfId="0">
      <alignment horizontal="center" vertical="center"/>
    </xf>
    <xf fontId="0" fillId="18" borderId="0" xfId="0">
      <alignment vertical="center"/>
    </xf>
    <xf numFmtId="301" fontId="17" fillId="44" borderId="0" xfId="0">
      <alignment vertical="center"/>
    </xf>
    <xf fontId="6" fillId="42" borderId="0" xfId="0">
      <alignment horizontal="center" vertical="center"/>
    </xf>
    <xf fontId="6" fillId="48" borderId="1" xfId="0">
      <alignment horizontal="center" vertical="center" wrapText="1"/>
    </xf>
    <xf fontId="6" fillId="41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5" fillId="42" borderId="2" xfId="0">
      <alignment vertical="center"/>
    </xf>
    <xf fontId="6" fillId="43" borderId="2" xfId="0">
      <alignment vertical="center"/>
    </xf>
    <xf numFmtId="300" fontId="6" fillId="5" borderId="2" xfId="0">
      <alignment horizontal="center" vertical="center"/>
    </xf>
    <xf fontId="0" fillId="0" borderId="2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15" fillId="52" borderId="0" xfId="0">
      <alignment vertical="center"/>
    </xf>
    <xf numFmtId="300" fontId="15" fillId="52" borderId="0" xfId="0">
      <alignment vertical="center"/>
    </xf>
    <xf fontId="21" fillId="5" borderId="2" xfId="0">
      <alignment vertical="center"/>
    </xf>
    <xf fontId="21" fillId="12" borderId="2" xfId="0">
      <alignment vertical="center"/>
    </xf>
    <xf numFmtId="301" fontId="25" fillId="13" borderId="2" xfId="0">
      <alignment vertical="center"/>
    </xf>
    <xf fontId="0" fillId="52" borderId="0" xfId="0">
      <alignment vertical="center"/>
    </xf>
    <xf numFmtId="300" fontId="0" fillId="52" borderId="0" xfId="0">
      <alignment vertical="center"/>
    </xf>
    <xf fontId="0" fillId="18" borderId="13" xfId="0">
      <alignment vertical="center"/>
    </xf>
    <xf fontId="0" fillId="0" borderId="14" xfId="0">
      <alignment vertical="center"/>
    </xf>
    <xf fontId="26" fillId="52" borderId="15" xfId="0">
      <alignment vertical="center"/>
    </xf>
    <xf fontId="28" fillId="52" borderId="15" xfId="0">
      <alignment vertical="center"/>
    </xf>
    <xf fontId="26" fillId="19" borderId="2" xfId="0">
      <alignment vertical="center"/>
    </xf>
    <xf fontId="25" fillId="19" borderId="3" xfId="0">
      <alignment vertical="center"/>
    </xf>
    <xf fontId="25" fillId="49" borderId="3" xfId="0">
      <alignment vertical="center"/>
    </xf>
    <xf fontId="25" fillId="50" borderId="3" xfId="0">
      <alignment vertical="center"/>
    </xf>
    <xf fontId="0" fillId="19" borderId="3" xfId="0">
      <alignment vertical="center"/>
    </xf>
    <xf numFmtId="302" fontId="0" fillId="19" borderId="4" xfId="0">
      <alignment vertical="center"/>
    </xf>
    <xf fontId="24" fillId="42" borderId="0" xfId="0">
      <alignment vertical="center"/>
      <protection/>
    </xf>
    <xf numFmtId="301" fontId="25" fillId="13" borderId="0" xfId="0">
      <alignment vertical="center"/>
      <protection/>
    </xf>
    <xf numFmtId="301" fontId="25" fillId="47" borderId="0" xfId="0">
      <alignment vertical="center"/>
      <protection/>
    </xf>
    <xf fontId="0" fillId="18" borderId="14" xfId="0">
      <alignment vertical="center"/>
    </xf>
    <xf numFmtId="301" fontId="18" fillId="18" borderId="0" xfId="0">
      <alignment vertical="center"/>
      <protection/>
    </xf>
    <xf fontId="0" fillId="19" borderId="0" xfId="0">
      <alignment vertical="center"/>
      <protection/>
    </xf>
    <xf fontId="26" fillId="52" borderId="0" xfId="0">
      <alignment vertical="center"/>
    </xf>
    <xf fontId="27" fillId="52" borderId="0" xfId="0">
      <alignment vertical="center"/>
    </xf>
    <xf fontId="26" fillId="52" borderId="0" xfId="0">
      <alignment horizontal="right"/>
    </xf>
    <xf fontId="6" fillId="48" borderId="2" xfId="0">
      <alignment horizontal="center" vertical="center"/>
    </xf>
    <xf fontId="0" fillId="0" borderId="3" xfId="0">
      <alignment vertical="center"/>
      <protection/>
    </xf>
    <xf fontId="0" fillId="0" borderId="6" xfId="0">
      <alignment vertical="center"/>
      <protection/>
    </xf>
    <xf fontId="0" fillId="0" borderId="10" xfId="0">
      <alignment vertical="center"/>
      <protection/>
    </xf>
    <xf numFmtId="301" fontId="17" fillId="52" borderId="0" xfId="0">
      <alignment/>
      <protection/>
    </xf>
    <xf numFmtId="301" fontId="17" fillId="52" borderId="0" xfId="0">
      <alignment/>
    </xf>
    <xf numFmtId="0" fontId="26" fillId="51" borderId="1" xfId="0">
      <alignment/>
    </xf>
    <xf fontId="20" fillId="53" borderId="0" xfId="0">
      <alignment horizontal="center" vertical="center"/>
    </xf>
    <xf fontId="20" fillId="54" borderId="0" xfId="0">
      <alignment horizontal="center" vertical="center"/>
    </xf>
    <xf numFmtId="0" fontId="17" fillId="25" borderId="0" xfId="0">
      <alignment horizontal="center" vertical="center"/>
    </xf>
    <xf numFmtId="62" fontId="26" fillId="55" borderId="0" xfId="0">
      <alignment vertical="center"/>
    </xf>
    <xf fontId="15" fillId="42" borderId="0" xfId="0">
      <alignment vertical="center"/>
    </xf>
    <xf fontId="0" fillId="13" borderId="0" xfId="0">
      <alignment vertical="center"/>
    </xf>
    <xf fontId="0" fillId="47" borderId="0" xfId="0">
      <alignment vertical="center"/>
    </xf>
    <xf fontId="0" fillId="19" borderId="0" xfId="0">
      <alignment vertical="center"/>
    </xf>
    <xf numFmtId="30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Z2025">
    <tabColor/>
  </sheetPr>
  <dimension ref="A167"/>
  <sheetViews>
    <sheetView showGridLines="1" workbookViewId="0"/>
  </sheetViews>
  <sheetFormatPr baseColWidth="13" defaultRowHeight="18" customHeight="1"/>
  <cols>
    <col min="1" max="1" width="23.2031" customWidth="1"/>
    <col min="2" max="2" width="16.4531" customWidth="1"/>
    <col min="3" max="3" width="23.6016" customWidth="1"/>
    <col min="4" max="4" width="18.6133" customWidth="1"/>
    <col min="5" max="5" width="11.0625" customWidth="1"/>
    <col min="6" max="6" width="27.5117" customWidth="1"/>
    <col min="7" max="7" width="24.0117" customWidth="1"/>
    <col min="8" max="8" width="35.7422" customWidth="1"/>
    <col min="9" max="9" width="23.2031" customWidth="1"/>
  </cols>
  <sheetData>
    <row r="1" spans="1:8" ht="27.75" customHeight="1">
      <c r="A1" s="4" t="s"/>
      <c r="B1" s="4" t="s"/>
      <c r="C1" s="4" t="s"/>
      <c r="D1" s="4" t="s"/>
      <c r="E1" s="4" t="s"/>
      <c r="F1" s="5" t="s">
        <v>1</v>
      </c>
      <c r="G1" s="5" t="s">
        <v>2</v>
      </c>
      <c r="H1" s="6" t="s">
        <v>3</v>
      </c>
    </row>
    <row r="2" spans="1:8" ht="27.75" customHeight="1">
      <c r="A2" s="4" t="s"/>
      <c r="B2" s="4" t="s"/>
      <c r="C2" s="4" t="s"/>
      <c r="D2" s="7" t="s"/>
      <c r="E2" s="4" t="s"/>
      <c r="F2" s="8">
        <f>=SUM(B:B)</f>
        <v>209018.34</v>
      </c>
      <c r="G2" s="9">
        <f>=SUM(C:C)</f>
        <v>41803.668</v>
      </c>
      <c r="H2" s="10">
        <f>=SUM(D:D)</f>
        <v>55738.224</v>
      </c>
    </row>
    <row r="3" spans="1:7">
      <c r="A3" s="4" t="s"/>
      <c r="B3" s="4" t="s"/>
      <c r="C3" s="4" t="s"/>
      <c r="D3" s="11" t="s"/>
      <c r="E3" s="4" t="s"/>
      <c r="G3" s="12" t="s"/>
    </row>
    <row r="4" spans="1:7">
      <c r="A4" s="4" t="s"/>
      <c r="B4" s="4" t="s"/>
      <c r="C4" s="4" t="s"/>
      <c r="D4" s="11" t="s"/>
      <c r="E4" s="4" t="s"/>
      <c r="G4" s="12" t="s"/>
    </row>
    <row r="5" spans="1:8" ht="27.75" customHeight="1">
      <c r="A5" s="13" t="s">
        <v>4</v>
      </c>
      <c r="B5" s="14" t="s">
        <v>5</v>
      </c>
      <c r="F5" s="15" t="s">
        <v>6</v>
      </c>
      <c r="G5" s="15" t="s">
        <v>7</v>
      </c>
      <c r="H5" s="16" t="s">
        <v>8</v>
      </c>
    </row>
    <row r="6" spans="1:8" ht="27.75" customHeight="1">
      <c r="A6" s="17">
        <f>=SUM(B9:B14)</f>
        <v>20062.07</v>
      </c>
      <c r="F6" s="18">
        <f>=F2/1</f>
        <v>209018.34</v>
      </c>
      <c r="G6" s="19">
        <f>=G2/1</f>
        <v>41803.668</v>
      </c>
      <c r="H6" s="20">
        <f>=H2/1</f>
        <v>55738.224</v>
      </c>
    </row>
    <row r="8" spans="1:9" ht="22.5" customHeight="1">
      <c r="A8" s="21" t="s">
        <v>9</v>
      </c>
      <c r="B8" s="22" t="s">
        <v>10</v>
      </c>
      <c r="C8" s="22" t="s">
        <v>11</v>
      </c>
      <c r="D8" s="22" t="s">
        <v>12</v>
      </c>
      <c r="E8" s="22" t="s">
        <v>13</v>
      </c>
      <c r="F8" s="22" t="s">
        <v>14</v>
      </c>
      <c r="G8" s="22" t="s">
        <v>15</v>
      </c>
      <c r="H8" s="23" t="s"/>
      <c r="I8" s="24" t="s"/>
    </row>
    <row r="9" spans="1:9">
      <c r="A9" s="25" t="s">
        <v>16</v>
      </c>
      <c r="B9" s="26">
        <v>5335.07</v>
      </c>
      <c r="C9" s="27">
        <f>=SUM(B9:B13)*0.2</f>
        <v>4012.414</v>
      </c>
      <c r="D9" s="28">
        <f>=SUM(B9:B13)*0.8/3</f>
        <v>5349.88533333333</v>
      </c>
      <c r="E9" s="25" t="s">
        <v>16</v>
      </c>
      <c r="F9" s="29">
        <f>=D9-B9</f>
        <v>14.8153333333339</v>
      </c>
      <c r="G9" s="30">
        <f>=D14</f>
        <v>0</v>
      </c>
      <c r="H9" s="31" t="s"/>
      <c r="I9" s="32" t="s"/>
    </row>
    <row r="10" spans="1:9">
      <c r="A10" s="33" t="s">
        <v>17</v>
      </c>
      <c r="B10" s="34">
        <v>5737.81</v>
      </c>
      <c r="E10" s="33" t="s">
        <v>17</v>
      </c>
      <c r="F10" s="35">
        <f>=(D9-B10)</f>
        <v>-387.924666666667</v>
      </c>
      <c r="H10" s="31" t="s"/>
      <c r="I10" s="32" t="s"/>
    </row>
    <row r="11" spans="1:9">
      <c r="A11" s="36" t="s">
        <v>18</v>
      </c>
      <c r="B11" s="37">
        <v>8989.19</v>
      </c>
      <c r="E11" s="38" t="s">
        <v>18</v>
      </c>
      <c r="F11" s="39">
        <f>=D9-B11</f>
        <v>-3639.30466666667</v>
      </c>
      <c r="H11" s="31" t="s"/>
      <c r="I11" s="32" t="s"/>
    </row>
    <row r="12" spans="1:9">
      <c r="A12" s="40" t="s"/>
      <c r="B12" s="40" t="s"/>
      <c r="E12" s="40" t="s">
        <v>19</v>
      </c>
      <c r="F12" s="41">
        <f>=C9</f>
        <v>4012.414</v>
      </c>
      <c r="G12" s="42">
        <f>=C14</f>
        <v>0</v>
      </c>
      <c r="H12" s="31" t="s"/>
      <c r="I12" s="32" t="s"/>
    </row>
    <row r="13" spans="1:9">
      <c r="A13" s="40" t="s">
        <v>20</v>
      </c>
      <c r="B13" s="40" t="s"/>
      <c r="E13" s="40" t="s"/>
      <c r="F13" s="42" t="s"/>
      <c r="G13" s="42" t="s"/>
      <c r="H13" s="31" t="s"/>
      <c r="I13" s="32" t="s"/>
    </row>
    <row r="14" spans="1:9">
      <c r="A14" s="43" t="s">
        <v>21</v>
      </c>
      <c r="B14" s="44" t="s"/>
      <c r="C14" s="44">
        <f>=B14*0.2</f>
        <v>0</v>
      </c>
      <c r="D14" s="44">
        <f>=B14*0.8/3</f>
        <v>0</v>
      </c>
      <c r="E14" s="43" t="s"/>
      <c r="F14" s="43" t="s"/>
      <c r="G14" s="45" t="s"/>
      <c r="H14" s="31" t="s"/>
      <c r="I14" s="32" t="s"/>
    </row>
    <row r="15" spans="1:1">
      <c r="A15" s="46" t="s"/>
    </row>
    <row r="18" spans="1:8">
      <c r="A18" s="13" t="s">
        <v>4</v>
      </c>
      <c r="B18" s="14" t="s">
        <v>22</v>
      </c>
      <c r="F18" s="15" t="s">
        <v>6</v>
      </c>
      <c r="G18" s="15" t="s">
        <v>7</v>
      </c>
      <c r="H18" s="16" t="s">
        <v>8</v>
      </c>
    </row>
    <row r="19" spans="1:8">
      <c r="A19" s="17">
        <f>=SUM(B22:B27)</f>
        <v>21650.43</v>
      </c>
      <c r="F19" s="18">
        <f>=F2/2</f>
        <v>104509.17</v>
      </c>
      <c r="G19" s="19">
        <f>=G2/2</f>
        <v>20901.834</v>
      </c>
      <c r="H19" s="20">
        <f>=H2/2</f>
        <v>27869.112</v>
      </c>
    </row>
    <row r="21" spans="1:8">
      <c r="A21" s="21" t="s">
        <v>9</v>
      </c>
      <c r="B21" s="22" t="s">
        <v>10</v>
      </c>
      <c r="C21" s="22" t="s">
        <v>11</v>
      </c>
      <c r="D21" s="22" t="s">
        <v>12</v>
      </c>
      <c r="E21" s="22" t="s">
        <v>13</v>
      </c>
      <c r="F21" s="22" t="s">
        <v>14</v>
      </c>
      <c r="G21" s="22" t="s">
        <v>15</v>
      </c>
      <c r="H21" s="23" t="s"/>
    </row>
    <row r="22" spans="1:8">
      <c r="A22" s="25" t="s">
        <v>16</v>
      </c>
      <c r="B22" s="26">
        <v>4400.6</v>
      </c>
      <c r="C22" s="27">
        <f>=SUM(B22:B26)*0.2</f>
        <v>4247.508</v>
      </c>
      <c r="D22" s="28">
        <f>=SUM(B22:B26)*0.8/3</f>
        <v>5663.344</v>
      </c>
      <c r="E22" s="25" t="s">
        <v>16</v>
      </c>
      <c r="F22" s="29">
        <f>=D22-B22</f>
        <v>1262.744</v>
      </c>
      <c r="G22" s="30">
        <f>=D27</f>
        <v>110.104</v>
      </c>
      <c r="H22" s="31" t="s"/>
    </row>
    <row r="23" spans="1:8">
      <c r="A23" s="33" t="s">
        <v>17</v>
      </c>
      <c r="B23" s="34">
        <v>6423.88</v>
      </c>
      <c r="E23" s="33" t="s">
        <v>17</v>
      </c>
      <c r="F23" s="35">
        <f>=(D22-B23)</f>
        <v>-760.535999999999</v>
      </c>
      <c r="H23" s="31" t="s"/>
    </row>
    <row r="24" spans="1:8">
      <c r="A24" s="36" t="s">
        <v>18</v>
      </c>
      <c r="B24" s="37">
        <v>10413.06</v>
      </c>
      <c r="E24" s="38" t="s">
        <v>18</v>
      </c>
      <c r="F24" s="39">
        <f>=D22-B24</f>
        <v>-4749.716</v>
      </c>
      <c r="H24" s="31" t="s"/>
    </row>
    <row r="25" spans="1:8">
      <c r="A25" s="40" t="s"/>
      <c r="B25" s="40" t="s"/>
      <c r="E25" s="40" t="s">
        <v>19</v>
      </c>
      <c r="F25" s="41">
        <f>=C22</f>
        <v>4247.508</v>
      </c>
      <c r="G25" s="42">
        <f>=C27</f>
        <v>82.578</v>
      </c>
      <c r="H25" s="31" t="s"/>
    </row>
    <row r="26" spans="1:8">
      <c r="A26" s="40" t="s">
        <v>20</v>
      </c>
      <c r="B26" s="40" t="s"/>
      <c r="E26" s="40" t="s"/>
      <c r="F26" s="42" t="s"/>
      <c r="G26" s="42" t="s"/>
      <c r="H26" s="31" t="s"/>
    </row>
    <row r="27" spans="1:8">
      <c r="A27" s="43" t="s">
        <v>21</v>
      </c>
      <c r="B27" s="44">
        <v>412.89</v>
      </c>
      <c r="C27" s="44">
        <f>=B27*0.2</f>
        <v>82.578</v>
      </c>
      <c r="D27" s="44">
        <f>=B27*0.8/3</f>
        <v>110.104</v>
      </c>
      <c r="E27" s="43" t="s"/>
      <c r="F27" s="43" t="s"/>
      <c r="G27" s="45" t="s"/>
      <c r="H27" s="31" t="s"/>
    </row>
    <row r="28" spans="1:1">
      <c r="A28" s="46" t="s"/>
    </row>
    <row r="31" spans="1:8">
      <c r="A31" s="47" t="s">
        <v>4</v>
      </c>
      <c r="B31" s="14" t="s">
        <v>23</v>
      </c>
      <c r="F31" s="15" t="s">
        <v>6</v>
      </c>
      <c r="G31" s="15" t="s">
        <v>7</v>
      </c>
      <c r="H31" s="16" t="s">
        <v>8</v>
      </c>
    </row>
    <row r="32" spans="1:8">
      <c r="A32" s="48">
        <f>=SUM(B35:B39,B44,B45,B46,B47,B48,B49)</f>
        <v>36040.14</v>
      </c>
      <c r="F32" s="20">
        <f>=F2/3</f>
        <v>69672.78</v>
      </c>
      <c r="G32" s="49">
        <f>=G2/3</f>
        <v>13934.556</v>
      </c>
      <c r="H32" s="20">
        <f>=H2/3</f>
        <v>18579.408</v>
      </c>
    </row>
    <row r="34" spans="1:8">
      <c r="A34" s="50" t="s">
        <v>9</v>
      </c>
      <c r="B34" s="51" t="s">
        <v>10</v>
      </c>
      <c r="C34" s="52" t="s">
        <v>11</v>
      </c>
      <c r="D34" s="52" t="s">
        <v>12</v>
      </c>
      <c r="E34" s="51" t="s">
        <v>13</v>
      </c>
      <c r="F34" s="51" t="s">
        <v>14</v>
      </c>
      <c r="G34" s="52" t="s">
        <v>15</v>
      </c>
      <c r="H34" s="23" t="s"/>
    </row>
    <row r="35" spans="1:8">
      <c r="A35" s="53" t="s">
        <v>16</v>
      </c>
      <c r="B35" s="54">
        <v>2031.48</v>
      </c>
      <c r="C35" s="27">
        <f>=SUM(B35:B39)*0.2</f>
        <v>1865.262</v>
      </c>
      <c r="D35" s="28">
        <f>=SUM(B35:B39)*0.8/3</f>
        <v>2487.016</v>
      </c>
      <c r="E35" s="53" t="s">
        <v>16</v>
      </c>
      <c r="F35" s="55">
        <f>=D35-B35</f>
        <v>455.536</v>
      </c>
      <c r="G35" s="30">
        <f>=D40</f>
        <v>0</v>
      </c>
      <c r="H35" s="31" t="s"/>
    </row>
    <row r="36" spans="1:8">
      <c r="A36" s="56" t="s">
        <v>17</v>
      </c>
      <c r="B36" s="57">
        <v>2701.83</v>
      </c>
      <c r="E36" s="56" t="s">
        <v>17</v>
      </c>
      <c r="F36" s="58">
        <f>=(D35-B36)</f>
        <v>-214.814</v>
      </c>
      <c r="H36" s="31" t="s"/>
    </row>
    <row r="37" spans="1:8">
      <c r="A37" s="59" t="s">
        <v>18</v>
      </c>
      <c r="B37" s="60">
        <v>4593</v>
      </c>
      <c r="E37" s="61" t="s">
        <v>18</v>
      </c>
      <c r="F37" s="62">
        <f>=D35-B37</f>
        <v>-2105.984</v>
      </c>
      <c r="H37" s="31" t="s"/>
    </row>
    <row r="38" spans="1:8">
      <c r="A38" s="63" t="s"/>
      <c r="B38" s="63" t="s"/>
      <c r="E38" s="63" t="s">
        <v>19</v>
      </c>
      <c r="F38" s="64">
        <f>=C35</f>
        <v>1865.262</v>
      </c>
      <c r="G38" s="65">
        <f>=C40</f>
        <v>0</v>
      </c>
      <c r="H38" s="31" t="s"/>
    </row>
    <row r="39" spans="1:8">
      <c r="A39" s="63" t="s">
        <v>20</v>
      </c>
      <c r="B39" s="63" t="s"/>
      <c r="E39" s="40" t="s"/>
      <c r="F39" s="42" t="s"/>
      <c r="G39" s="42" t="s"/>
      <c r="H39" s="31" t="s"/>
    </row>
    <row r="40" spans="1:8">
      <c r="A40" s="66" t="s">
        <v>21</v>
      </c>
      <c r="B40" s="44" t="s"/>
      <c r="C40" s="44">
        <f>=B40*0.2</f>
        <v>0</v>
      </c>
      <c r="D40" s="44">
        <f>=B40*0.8/3</f>
        <v>0</v>
      </c>
      <c r="E40" s="43" t="s"/>
      <c r="F40" s="43" t="s"/>
      <c r="G40" s="45" t="s"/>
      <c r="H40" s="31" t="s"/>
    </row>
    <row r="41" spans="1:1">
      <c r="A41" s="67" t="s">
        <v>24</v>
      </c>
    </row>
    <row r="43" spans="1:8">
      <c r="A43" s="68" t="s">
        <v>9</v>
      </c>
      <c r="B43" s="51" t="s">
        <v>10</v>
      </c>
      <c r="C43" s="51" t="s">
        <v>11</v>
      </c>
      <c r="D43" s="51" t="s">
        <v>12</v>
      </c>
      <c r="E43" s="51" t="s">
        <v>13</v>
      </c>
      <c r="F43" s="51" t="s">
        <v>14</v>
      </c>
      <c r="G43" s="51" t="s">
        <v>15</v>
      </c>
      <c r="H43" s="23" t="s"/>
    </row>
    <row r="44" spans="1:8">
      <c r="A44" s="53" t="s">
        <v>16</v>
      </c>
      <c r="B44" s="54">
        <v>10564.64</v>
      </c>
      <c r="C44" s="69">
        <f>=SUM(B44:B48)*0.2</f>
        <v>5342.766</v>
      </c>
      <c r="D44" s="70">
        <f>=SUM(B44:B48)*0.8/3</f>
        <v>7123.688</v>
      </c>
      <c r="E44" s="53" t="s">
        <v>16</v>
      </c>
      <c r="F44" s="55">
        <f>=D44-B44</f>
        <v>-3440.952</v>
      </c>
      <c r="G44" s="71">
        <f>=D49</f>
        <v>0</v>
      </c>
      <c r="H44" s="31" t="s"/>
    </row>
    <row r="45" spans="1:8">
      <c r="A45" s="56" t="s">
        <v>17</v>
      </c>
      <c r="B45" s="57">
        <v>4444.07</v>
      </c>
      <c r="E45" s="56" t="s">
        <v>17</v>
      </c>
      <c r="F45" s="58">
        <f>=(D44-B45)</f>
        <v>2679.618</v>
      </c>
      <c r="H45" s="31" t="s"/>
    </row>
    <row r="46" spans="1:8">
      <c r="A46" s="59" t="s">
        <v>18</v>
      </c>
      <c r="B46" s="60">
        <v>11705.12</v>
      </c>
      <c r="E46" s="61" t="s">
        <v>18</v>
      </c>
      <c r="F46" s="62">
        <f>=D44-B46</f>
        <v>-4581.432</v>
      </c>
      <c r="H46" s="31" t="s"/>
    </row>
    <row r="47" spans="1:8">
      <c r="A47" s="63" t="s"/>
      <c r="B47" s="63" t="s"/>
      <c r="E47" s="63" t="s">
        <v>19</v>
      </c>
      <c r="F47" s="64">
        <f>=C44</f>
        <v>5342.766</v>
      </c>
      <c r="G47" s="42">
        <f>=C49</f>
        <v>0</v>
      </c>
      <c r="H47" s="31" t="s"/>
    </row>
    <row r="48" spans="1:8">
      <c r="A48" s="63" t="s">
        <v>20</v>
      </c>
      <c r="B48" s="63" t="s"/>
      <c r="E48" s="63" t="s"/>
      <c r="F48" s="65" t="s"/>
      <c r="G48" s="65" t="s"/>
      <c r="H48" s="31" t="s"/>
    </row>
    <row r="49" spans="1:8">
      <c r="A49" s="66" t="s">
        <v>21</v>
      </c>
      <c r="B49" s="72" t="s"/>
      <c r="C49" s="44">
        <f>=B49*0.2</f>
        <v>0</v>
      </c>
      <c r="D49" s="44">
        <f>=B49*0.8/3</f>
        <v>0</v>
      </c>
      <c r="E49" s="66" t="s"/>
      <c r="F49" s="66" t="s"/>
      <c r="G49" s="73" t="s"/>
      <c r="H49" s="31" t="s"/>
    </row>
    <row r="50" spans="1:1">
      <c r="A50" s="46" t="s"/>
    </row>
    <row r="53" spans="1:8">
      <c r="A53" s="13" t="s">
        <v>4</v>
      </c>
      <c r="B53" s="14" t="s">
        <v>25</v>
      </c>
      <c r="F53" s="15" t="s">
        <v>6</v>
      </c>
      <c r="G53" s="15" t="s">
        <v>7</v>
      </c>
      <c r="H53" s="16" t="s">
        <v>8</v>
      </c>
    </row>
    <row r="54" spans="1:8">
      <c r="A54" s="17">
        <f>=SUM(B57:B62)</f>
        <v>12741.02</v>
      </c>
      <c r="F54" s="18">
        <f>=F2/4</f>
        <v>52254.585</v>
      </c>
      <c r="G54" s="19">
        <f>=G2/4</f>
        <v>10450.917</v>
      </c>
      <c r="H54" s="20">
        <f>=H2/4</f>
        <v>13934.556</v>
      </c>
    </row>
    <row r="56" spans="1:8">
      <c r="A56" s="21" t="s">
        <v>9</v>
      </c>
      <c r="B56" s="22" t="s">
        <v>10</v>
      </c>
      <c r="C56" s="22" t="s">
        <v>11</v>
      </c>
      <c r="D56" s="22" t="s">
        <v>12</v>
      </c>
      <c r="E56" s="22" t="s">
        <v>13</v>
      </c>
      <c r="F56" s="22" t="s">
        <v>14</v>
      </c>
      <c r="G56" s="22" t="s">
        <v>15</v>
      </c>
      <c r="H56" s="23" t="s"/>
    </row>
    <row r="57" spans="1:8">
      <c r="A57" s="25" t="s">
        <v>16</v>
      </c>
      <c r="B57" s="26">
        <v>2706.72</v>
      </c>
      <c r="C57" s="27">
        <f>=SUM(B57:B61)*0.2</f>
        <v>2548.204</v>
      </c>
      <c r="D57" s="28">
        <f>=SUM(B57:B61)*0.8/3</f>
        <v>3397.60533333333</v>
      </c>
      <c r="E57" s="25" t="s">
        <v>16</v>
      </c>
      <c r="F57" s="29">
        <f>=D57-B57</f>
        <v>690.885333333334</v>
      </c>
      <c r="G57" s="30">
        <f>=D62</f>
        <v>0</v>
      </c>
      <c r="H57" s="31" t="s"/>
    </row>
    <row r="58" spans="1:8">
      <c r="A58" s="33" t="s">
        <v>17</v>
      </c>
      <c r="B58" s="34">
        <v>3741.26</v>
      </c>
      <c r="E58" s="33" t="s">
        <v>17</v>
      </c>
      <c r="F58" s="35">
        <f>=(D57-B58)</f>
        <v>-343.654666666667</v>
      </c>
      <c r="H58" s="31" t="s"/>
    </row>
    <row r="59" spans="1:8">
      <c r="A59" s="36" t="s">
        <v>18</v>
      </c>
      <c r="B59" s="37">
        <v>6293.04</v>
      </c>
      <c r="E59" s="38" t="s">
        <v>18</v>
      </c>
      <c r="F59" s="39">
        <f>=D57-B59</f>
        <v>-2895.43466666667</v>
      </c>
      <c r="H59" s="31" t="s"/>
    </row>
    <row r="60" spans="1:8">
      <c r="A60" s="40" t="s"/>
      <c r="B60" s="40" t="s"/>
      <c r="E60" s="40" t="s">
        <v>19</v>
      </c>
      <c r="F60" s="41">
        <f>=C57</f>
        <v>2548.204</v>
      </c>
      <c r="G60" s="42">
        <f>=C62</f>
        <v>0</v>
      </c>
      <c r="H60" s="31" t="s"/>
    </row>
    <row r="61" spans="1:8">
      <c r="A61" s="40" t="s">
        <v>20</v>
      </c>
      <c r="B61" s="40" t="s"/>
      <c r="E61" s="40" t="s"/>
      <c r="F61" s="42" t="s"/>
      <c r="G61" s="42" t="s"/>
      <c r="H61" s="31" t="s"/>
    </row>
    <row r="62" spans="1:8">
      <c r="A62" s="43" t="s">
        <v>21</v>
      </c>
      <c r="B62" s="44" t="s"/>
      <c r="C62" s="44">
        <f>=B62*0.2</f>
        <v>0</v>
      </c>
      <c r="D62" s="44">
        <f>=B62*0.8/3</f>
        <v>0</v>
      </c>
      <c r="E62" s="43" t="s"/>
      <c r="F62" s="43" t="s"/>
      <c r="G62" s="45" t="s"/>
      <c r="H62" s="31" t="s"/>
    </row>
    <row r="63" spans="1:1">
      <c r="A63" s="46" t="s"/>
    </row>
    <row r="66" spans="1:8">
      <c r="A66" s="74" t="s">
        <v>4</v>
      </c>
      <c r="B66" s="75" t="s">
        <v>26</v>
      </c>
      <c r="F66" s="16" t="s">
        <v>6</v>
      </c>
      <c r="G66" s="15" t="s">
        <v>7</v>
      </c>
      <c r="H66" s="16" t="s">
        <v>8</v>
      </c>
    </row>
    <row r="67" spans="1:8">
      <c r="A67" s="48">
        <f>=SUM(B70:B75)</f>
        <v>10617.5</v>
      </c>
      <c r="F67" s="20">
        <f>=F2/5</f>
        <v>41803.668</v>
      </c>
      <c r="G67" s="19">
        <f>=G2/5</f>
        <v>8360.7336</v>
      </c>
      <c r="H67" s="20">
        <f>=H2/5</f>
        <v>11147.6448</v>
      </c>
    </row>
    <row r="69" spans="1:8">
      <c r="A69" s="50" t="s">
        <v>9</v>
      </c>
      <c r="B69" s="51" t="s">
        <v>10</v>
      </c>
      <c r="C69" s="52" t="s">
        <v>11</v>
      </c>
      <c r="D69" s="52" t="s">
        <v>12</v>
      </c>
      <c r="E69" s="51" t="s">
        <v>13</v>
      </c>
      <c r="F69" s="51" t="s">
        <v>14</v>
      </c>
      <c r="G69" s="51" t="s">
        <v>15</v>
      </c>
      <c r="H69" s="23" t="s"/>
    </row>
    <row r="70" spans="1:8">
      <c r="A70" s="53" t="s">
        <v>16</v>
      </c>
      <c r="B70" s="54">
        <v>2530.17</v>
      </c>
      <c r="C70" s="69">
        <f>=SUM(B70:B74)*0.2</f>
        <v>2082.67</v>
      </c>
      <c r="D70" s="70">
        <f>=SUM(B70:B74)*0.8/3</f>
        <v>2776.89333333333</v>
      </c>
      <c r="E70" s="53" t="s">
        <v>16</v>
      </c>
      <c r="F70" s="55">
        <f>=D70-B70</f>
        <v>246.723333333333</v>
      </c>
      <c r="G70" s="71">
        <f>=D75</f>
        <v>54.44</v>
      </c>
      <c r="H70" s="31" t="s"/>
    </row>
    <row r="71" spans="1:8">
      <c r="A71" s="56" t="s">
        <v>17</v>
      </c>
      <c r="B71" s="57">
        <v>3014.82</v>
      </c>
      <c r="E71" s="76" t="s">
        <v>17</v>
      </c>
      <c r="F71" s="77">
        <f>=(D70-B71)</f>
        <v>-237.926666666667</v>
      </c>
      <c r="H71" s="31" t="s"/>
    </row>
    <row r="72" spans="1:8">
      <c r="A72" s="59" t="s">
        <v>18</v>
      </c>
      <c r="B72" s="78">
        <v>4868.36</v>
      </c>
      <c r="E72" s="79" t="s">
        <v>18</v>
      </c>
      <c r="F72" s="80">
        <f>=D70-B72</f>
        <v>-2091.46666666667</v>
      </c>
      <c r="H72" s="31" t="s"/>
    </row>
    <row r="73" spans="1:8">
      <c r="A73" s="40" t="s"/>
      <c r="B73" s="40" t="s"/>
      <c r="E73" s="40" t="s">
        <v>19</v>
      </c>
      <c r="F73" s="41">
        <f>=C70</f>
        <v>2082.67</v>
      </c>
      <c r="G73" s="42">
        <f>=C75</f>
        <v>40.83</v>
      </c>
      <c r="H73" s="31" t="s"/>
    </row>
    <row r="74" spans="1:8">
      <c r="A74" s="63" t="s">
        <v>20</v>
      </c>
      <c r="B74" s="63" t="s"/>
      <c r="E74" s="63" t="s"/>
      <c r="F74" s="65" t="s"/>
      <c r="G74" s="65" t="s"/>
      <c r="H74" s="31" t="s"/>
    </row>
    <row r="75" spans="1:8">
      <c r="A75" s="66" t="s">
        <v>21</v>
      </c>
      <c r="B75" s="72">
        <v>204.15</v>
      </c>
      <c r="C75" s="72">
        <f>=B75*0.2</f>
        <v>40.83</v>
      </c>
      <c r="D75" s="72">
        <f>=B75*0.8/3</f>
        <v>54.44</v>
      </c>
      <c r="E75" s="66" t="s"/>
      <c r="F75" s="66" t="s"/>
      <c r="G75" s="73" t="s"/>
      <c r="H75" s="31" t="s"/>
    </row>
    <row r="76" spans="1:1">
      <c r="A76" s="81" t="s"/>
    </row>
    <row r="79" spans="1:8">
      <c r="A79" s="74" t="s">
        <v>4</v>
      </c>
      <c r="B79" s="75" t="s">
        <v>27</v>
      </c>
      <c r="F79" s="16" t="s">
        <v>6</v>
      </c>
      <c r="G79" s="16" t="s">
        <v>7</v>
      </c>
      <c r="H79" s="16" t="s">
        <v>8</v>
      </c>
    </row>
    <row r="80" spans="1:8">
      <c r="A80" s="48">
        <f>=SUM(B83:B88)</f>
        <v>13120.23</v>
      </c>
      <c r="F80" s="20">
        <f>=F2/6</f>
        <v>34836.39</v>
      </c>
      <c r="G80" s="49">
        <f>=G2/6</f>
        <v>6967.278</v>
      </c>
      <c r="H80" s="20">
        <f>=H2/6</f>
        <v>9289.704</v>
      </c>
    </row>
    <row r="82" spans="1:8">
      <c r="A82" s="50" t="s">
        <v>9</v>
      </c>
      <c r="B82" s="52" t="s">
        <v>10</v>
      </c>
      <c r="C82" s="52" t="s">
        <v>11</v>
      </c>
      <c r="D82" s="52" t="s">
        <v>12</v>
      </c>
      <c r="E82" s="52" t="s">
        <v>13</v>
      </c>
      <c r="F82" s="52" t="s">
        <v>14</v>
      </c>
      <c r="G82" s="52" t="s">
        <v>15</v>
      </c>
      <c r="H82" s="23" t="s"/>
    </row>
    <row r="83" spans="1:8">
      <c r="A83" s="82" t="s">
        <v>16</v>
      </c>
      <c r="B83" s="83">
        <v>2886.06</v>
      </c>
      <c r="C83" s="27">
        <f>=SUM(B83:B87)*0.2</f>
        <v>2624.046</v>
      </c>
      <c r="D83" s="28">
        <f>=SUM(B83:B87)*0.8/3</f>
        <v>3498.728</v>
      </c>
      <c r="E83" s="82" t="s">
        <v>16</v>
      </c>
      <c r="F83" s="84">
        <f>=D83-B83</f>
        <v>612.668000000001</v>
      </c>
      <c r="G83" s="30">
        <f>=D88</f>
        <v>0</v>
      </c>
      <c r="H83" s="31" t="s"/>
    </row>
    <row r="84" spans="1:8">
      <c r="A84" s="56" t="s">
        <v>17</v>
      </c>
      <c r="B84" s="57">
        <v>4051.96</v>
      </c>
      <c r="E84" s="56" t="s">
        <v>17</v>
      </c>
      <c r="F84" s="58">
        <f>=(D83-B84)</f>
        <v>-553.232</v>
      </c>
      <c r="H84" s="31" t="s"/>
    </row>
    <row r="85" spans="1:8">
      <c r="A85" s="59" t="s">
        <v>18</v>
      </c>
      <c r="B85" s="60">
        <v>6182.21</v>
      </c>
      <c r="E85" s="61" t="s">
        <v>18</v>
      </c>
      <c r="F85" s="62">
        <f>=D83-B85</f>
        <v>-2683.482</v>
      </c>
      <c r="H85" s="31" t="s"/>
    </row>
    <row r="86" spans="1:8">
      <c r="A86" s="63" t="s"/>
      <c r="B86" s="63" t="s"/>
      <c r="E86" s="63" t="s">
        <v>19</v>
      </c>
      <c r="F86" s="64">
        <f>=C83</f>
        <v>2624.046</v>
      </c>
      <c r="G86" s="42">
        <f>=C88</f>
        <v>0</v>
      </c>
      <c r="H86" s="31" t="s"/>
    </row>
    <row r="87" spans="1:8">
      <c r="A87" s="63" t="s">
        <v>20</v>
      </c>
      <c r="B87" s="63" t="s"/>
      <c r="E87" s="63" t="s"/>
      <c r="F87" s="65" t="s"/>
      <c r="G87" s="42" t="s"/>
      <c r="H87" s="31" t="s"/>
    </row>
    <row r="88" spans="1:8">
      <c r="A88" s="66" t="s">
        <v>21</v>
      </c>
      <c r="B88" s="72" t="s"/>
      <c r="C88" s="44">
        <f>=B88*0.2</f>
        <v>0</v>
      </c>
      <c r="D88" s="44">
        <f>=B88*0.8/3</f>
        <v>0</v>
      </c>
      <c r="E88" s="66" t="s"/>
      <c r="F88" s="66" t="s"/>
      <c r="G88" s="73" t="s"/>
      <c r="H88" s="31" t="s"/>
    </row>
    <row r="89" spans="1:1">
      <c r="A89" s="81" t="s"/>
    </row>
    <row r="92" spans="1:8">
      <c r="A92" s="74" t="s">
        <v>4</v>
      </c>
      <c r="B92" s="75" t="s">
        <v>28</v>
      </c>
      <c r="F92" s="16" t="s">
        <v>6</v>
      </c>
      <c r="G92" s="16" t="s">
        <v>7</v>
      </c>
      <c r="H92" s="16" t="s">
        <v>8</v>
      </c>
    </row>
    <row r="93" spans="1:8">
      <c r="A93" s="48">
        <f>=SUM(B96:B101)</f>
        <v>18612.95</v>
      </c>
      <c r="F93" s="20">
        <f>=F2/7</f>
        <v>29859.7628571429</v>
      </c>
      <c r="G93" s="49">
        <f>=G2/7</f>
        <v>5971.95257142857</v>
      </c>
      <c r="H93" s="20">
        <f>=H2/7</f>
        <v>7962.60342857143</v>
      </c>
    </row>
    <row r="95" spans="1:8">
      <c r="A95" s="50" t="s">
        <v>9</v>
      </c>
      <c r="B95" s="52" t="s">
        <v>10</v>
      </c>
      <c r="C95" s="52" t="s">
        <v>11</v>
      </c>
      <c r="D95" s="52" t="s">
        <v>12</v>
      </c>
      <c r="E95" s="52" t="s">
        <v>13</v>
      </c>
      <c r="F95" s="52" t="s">
        <v>14</v>
      </c>
      <c r="G95" s="52" t="s">
        <v>15</v>
      </c>
      <c r="H95" s="23" t="s"/>
    </row>
    <row r="96" spans="1:8">
      <c r="A96" s="82" t="s">
        <v>16</v>
      </c>
      <c r="B96" s="83">
        <v>5507.2</v>
      </c>
      <c r="C96" s="27">
        <f>=SUM(B96:B100)*0.2</f>
        <v>3722.59</v>
      </c>
      <c r="D96" s="28">
        <f>=SUM(B96:B100)*0.8/3</f>
        <v>4963.45333333334</v>
      </c>
      <c r="E96" s="82" t="s">
        <v>16</v>
      </c>
      <c r="F96" s="84">
        <f>=D96-B96</f>
        <v>-543.746666666666</v>
      </c>
      <c r="G96" s="30">
        <f>=D101</f>
        <v>0</v>
      </c>
      <c r="H96" s="31" t="s"/>
    </row>
    <row r="97" spans="1:8">
      <c r="A97" s="56" t="s">
        <v>17</v>
      </c>
      <c r="B97" s="57">
        <v>5278.38</v>
      </c>
      <c r="E97" s="56" t="s">
        <v>17</v>
      </c>
      <c r="F97" s="58">
        <f>=(D96-B97)</f>
        <v>-314.926666666666</v>
      </c>
      <c r="H97" s="31" t="s"/>
    </row>
    <row r="98" spans="1:8">
      <c r="A98" s="59" t="s">
        <v>18</v>
      </c>
      <c r="B98" s="60">
        <v>7827.37</v>
      </c>
      <c r="E98" s="61" t="s">
        <v>18</v>
      </c>
      <c r="F98" s="62">
        <f>=D96-B98</f>
        <v>-2863.91666666667</v>
      </c>
      <c r="H98" s="31" t="s"/>
    </row>
    <row r="99" spans="1:8">
      <c r="A99" s="63" t="s"/>
      <c r="B99" s="63" t="s"/>
      <c r="E99" s="63" t="s">
        <v>19</v>
      </c>
      <c r="F99" s="64">
        <f>=C96</f>
        <v>3722.59</v>
      </c>
      <c r="G99" s="42">
        <f>=C101</f>
        <v>0</v>
      </c>
      <c r="H99" s="31" t="s"/>
    </row>
    <row r="100" spans="1:8">
      <c r="A100" s="63" t="s">
        <v>20</v>
      </c>
      <c r="B100" s="63" t="s"/>
      <c r="E100" s="63" t="s"/>
      <c r="F100" s="65" t="s"/>
      <c r="G100" s="42" t="s"/>
      <c r="H100" s="31" t="s"/>
    </row>
    <row r="101" spans="1:8">
      <c r="A101" s="66" t="s">
        <v>21</v>
      </c>
      <c r="B101" s="72" t="s"/>
      <c r="C101" s="44">
        <f>=B101*0.2</f>
        <v>0</v>
      </c>
      <c r="D101" s="44">
        <f>=B101*0.8/3</f>
        <v>0</v>
      </c>
      <c r="E101" s="66" t="s"/>
      <c r="F101" s="66" t="s"/>
      <c r="G101" s="73" t="s"/>
      <c r="H101" s="31" t="s"/>
    </row>
    <row r="102" spans="1:1">
      <c r="A102" s="81" t="s"/>
    </row>
    <row r="105" spans="1:8">
      <c r="A105" s="74" t="s">
        <v>4</v>
      </c>
      <c r="B105" s="75" t="s">
        <v>29</v>
      </c>
      <c r="F105" s="16" t="s">
        <v>6</v>
      </c>
      <c r="G105" s="16" t="s">
        <v>7</v>
      </c>
      <c r="H105" s="16" t="s">
        <v>8</v>
      </c>
    </row>
    <row r="106" spans="1:8">
      <c r="A106" s="48">
        <f>=SUM(B109:B114)</f>
        <v>11322.49</v>
      </c>
      <c r="F106" s="20">
        <f>=F2/8</f>
        <v>26127.2925</v>
      </c>
      <c r="G106" s="19">
        <f>=G2/8</f>
        <v>5225.4585</v>
      </c>
      <c r="H106" s="20">
        <f>=H2/8</f>
        <v>6967.278</v>
      </c>
    </row>
    <row r="108" spans="1:8">
      <c r="A108" s="50" t="s">
        <v>9</v>
      </c>
      <c r="B108" s="51" t="s">
        <v>10</v>
      </c>
      <c r="C108" s="52" t="s">
        <v>11</v>
      </c>
      <c r="D108" s="52" t="s">
        <v>12</v>
      </c>
      <c r="E108" s="51" t="s">
        <v>13</v>
      </c>
      <c r="F108" s="51" t="s">
        <v>14</v>
      </c>
      <c r="G108" s="51" t="s">
        <v>15</v>
      </c>
      <c r="H108" s="23" t="s"/>
    </row>
    <row r="109" spans="1:8">
      <c r="A109" s="53" t="s">
        <v>16</v>
      </c>
      <c r="B109" s="54">
        <v>2915.59</v>
      </c>
      <c r="C109" s="27">
        <f>=SUM(B109:B113)*0.2</f>
        <v>2193.354</v>
      </c>
      <c r="D109" s="28">
        <f>=SUM(B109:B113)*0.8/3</f>
        <v>2924.472</v>
      </c>
      <c r="E109" s="53" t="s">
        <v>16</v>
      </c>
      <c r="F109" s="55">
        <f>=D109-B109</f>
        <v>8.88200000000006</v>
      </c>
      <c r="G109" s="71">
        <f>=D114</f>
        <v>94.8586666666667</v>
      </c>
      <c r="H109" s="31" t="s"/>
    </row>
    <row r="110" spans="1:8">
      <c r="A110" s="56" t="s">
        <v>17</v>
      </c>
      <c r="B110" s="57">
        <v>3090.26</v>
      </c>
      <c r="E110" s="56" t="s">
        <v>17</v>
      </c>
      <c r="F110" s="58">
        <f>=(D109-B110)</f>
        <v>-165.788</v>
      </c>
      <c r="H110" s="31" t="s"/>
    </row>
    <row r="111" spans="1:8">
      <c r="A111" s="59" t="s">
        <v>18</v>
      </c>
      <c r="B111" s="60">
        <v>4960.92</v>
      </c>
      <c r="E111" s="61" t="s">
        <v>18</v>
      </c>
      <c r="F111" s="62">
        <f>=D109-B111</f>
        <v>-2036.448</v>
      </c>
      <c r="H111" s="31" t="s"/>
    </row>
    <row r="112" spans="1:8">
      <c r="A112" s="63" t="s"/>
      <c r="B112" s="63" t="s"/>
      <c r="E112" s="63" t="s">
        <v>19</v>
      </c>
      <c r="F112" s="64">
        <f>=C109</f>
        <v>2193.354</v>
      </c>
      <c r="G112" s="65">
        <f>=C114</f>
        <v>71.144</v>
      </c>
      <c r="H112" s="31" t="s"/>
    </row>
    <row r="113" spans="1:8">
      <c r="A113" s="63" t="s">
        <v>20</v>
      </c>
      <c r="B113" s="63" t="s"/>
      <c r="E113" s="63" t="s"/>
      <c r="F113" s="65" t="s"/>
      <c r="G113" s="65" t="s"/>
      <c r="H113" s="31" t="s"/>
    </row>
    <row r="114" spans="1:8">
      <c r="A114" s="66" t="s">
        <v>21</v>
      </c>
      <c r="B114" s="72">
        <v>355.72</v>
      </c>
      <c r="C114" s="72">
        <f>=B114*0.2</f>
        <v>71.144</v>
      </c>
      <c r="D114" s="72">
        <f>=B114*0.8/3</f>
        <v>94.8586666666667</v>
      </c>
      <c r="E114" s="66" t="s"/>
      <c r="F114" s="66" t="s"/>
      <c r="G114" s="73" t="s"/>
      <c r="H114" s="31" t="s"/>
    </row>
    <row r="115" spans="1:1">
      <c r="A115" s="85" t="s"/>
    </row>
    <row r="118" spans="1:8">
      <c r="A118" s="74" t="s">
        <v>4</v>
      </c>
      <c r="B118" s="75" t="s">
        <v>30</v>
      </c>
      <c r="F118" s="16" t="s">
        <v>6</v>
      </c>
      <c r="G118" s="16" t="s">
        <v>7</v>
      </c>
      <c r="H118" s="16" t="s">
        <v>8</v>
      </c>
    </row>
    <row r="119" spans="1:8">
      <c r="A119" s="48">
        <f>=SUM(B122:B127)</f>
        <v>9118.72</v>
      </c>
      <c r="F119" s="20">
        <f>=F2/9</f>
        <v>23224.26</v>
      </c>
      <c r="G119" s="49">
        <f>=G2/9</f>
        <v>4644.852</v>
      </c>
      <c r="H119" s="20">
        <f>=H2/9</f>
        <v>6193.136</v>
      </c>
    </row>
    <row r="121" spans="1:8">
      <c r="A121" s="50" t="s">
        <v>9</v>
      </c>
      <c r="B121" s="51" t="s">
        <v>10</v>
      </c>
      <c r="C121" s="51" t="s">
        <v>11</v>
      </c>
      <c r="D121" s="51" t="s">
        <v>12</v>
      </c>
      <c r="E121" s="51" t="s">
        <v>13</v>
      </c>
      <c r="F121" s="51" t="s">
        <v>14</v>
      </c>
      <c r="G121" s="51" t="s">
        <v>15</v>
      </c>
      <c r="H121" s="23" t="s"/>
    </row>
    <row r="122" spans="1:8">
      <c r="A122" s="53" t="s">
        <v>16</v>
      </c>
      <c r="B122" s="54">
        <v>2090.22</v>
      </c>
      <c r="C122" s="69">
        <f>=SUM(B122:B126)*0.2</f>
        <v>1756.046</v>
      </c>
      <c r="D122" s="70">
        <f>=SUM(B122:B126)*0.8/3</f>
        <v>2341.39466666667</v>
      </c>
      <c r="E122" s="53" t="s">
        <v>16</v>
      </c>
      <c r="F122" s="55">
        <f>=D122-B122</f>
        <v>251.174666666667</v>
      </c>
      <c r="G122" s="71">
        <f>=D127</f>
        <v>90.264</v>
      </c>
      <c r="H122" s="31" t="s"/>
    </row>
    <row r="123" spans="1:8">
      <c r="A123" s="56" t="s">
        <v>17</v>
      </c>
      <c r="B123" s="57">
        <v>2743.77</v>
      </c>
      <c r="E123" s="56" t="s">
        <v>17</v>
      </c>
      <c r="F123" s="58">
        <f>=(D122-B123)</f>
        <v>-402.375333333333</v>
      </c>
      <c r="H123" s="31" t="s"/>
    </row>
    <row r="124" spans="1:8">
      <c r="A124" s="59" t="s">
        <v>18</v>
      </c>
      <c r="B124" s="60">
        <v>3946.24</v>
      </c>
      <c r="E124" s="61" t="s">
        <v>18</v>
      </c>
      <c r="F124" s="62">
        <f>=D122-B124</f>
        <v>-1604.84533333333</v>
      </c>
      <c r="H124" s="31" t="s"/>
    </row>
    <row r="125" spans="1:8">
      <c r="A125" s="63" t="s"/>
      <c r="B125" s="63" t="s"/>
      <c r="E125" s="63" t="s">
        <v>19</v>
      </c>
      <c r="F125" s="64">
        <f>=C122</f>
        <v>1756.046</v>
      </c>
      <c r="G125" s="65">
        <f>=C127</f>
        <v>67.698</v>
      </c>
      <c r="H125" s="31" t="s"/>
    </row>
    <row r="126" spans="1:8">
      <c r="A126" s="63" t="s">
        <v>20</v>
      </c>
      <c r="B126" s="63" t="s"/>
      <c r="E126" s="63" t="s"/>
      <c r="F126" s="65" t="s"/>
      <c r="G126" s="65" t="s"/>
      <c r="H126" s="31" t="s"/>
    </row>
    <row r="127" spans="1:8">
      <c r="A127" s="66" t="s">
        <v>21</v>
      </c>
      <c r="B127" s="72">
        <v>338.49</v>
      </c>
      <c r="C127" s="72">
        <f>=B127*0.2</f>
        <v>67.698</v>
      </c>
      <c r="D127" s="72">
        <f>=B127*0.8/3</f>
        <v>90.264</v>
      </c>
      <c r="E127" s="66" t="s"/>
      <c r="F127" s="66" t="s"/>
      <c r="G127" s="73" t="s"/>
      <c r="H127" s="31" t="s"/>
    </row>
    <row r="128" spans="1:1">
      <c r="A128" s="85" t="s"/>
    </row>
    <row r="131" spans="1:8">
      <c r="A131" s="74" t="s">
        <v>4</v>
      </c>
      <c r="B131" s="75" t="s">
        <v>31</v>
      </c>
      <c r="F131" s="16" t="s">
        <v>6</v>
      </c>
      <c r="G131" s="16" t="s">
        <v>7</v>
      </c>
      <c r="H131" s="16" t="s">
        <v>8</v>
      </c>
    </row>
    <row r="132" spans="1:8">
      <c r="A132" s="48">
        <f>=SUM(B135:B140)</f>
        <v>13006.22</v>
      </c>
      <c r="F132" s="20">
        <f>=F54/10</f>
        <v>5225.4585</v>
      </c>
      <c r="G132" s="49">
        <f>=G2/10</f>
        <v>4180.3668</v>
      </c>
      <c r="H132" s="20">
        <f>=H2/10</f>
        <v>5573.8224</v>
      </c>
    </row>
    <row r="134" spans="1:8">
      <c r="A134" s="50" t="s">
        <v>9</v>
      </c>
      <c r="B134" s="51" t="s">
        <v>10</v>
      </c>
      <c r="C134" s="51" t="s">
        <v>11</v>
      </c>
      <c r="D134" s="51" t="s">
        <v>12</v>
      </c>
      <c r="E134" s="51" t="s">
        <v>13</v>
      </c>
      <c r="F134" s="51" t="s">
        <v>14</v>
      </c>
      <c r="G134" s="51" t="s">
        <v>15</v>
      </c>
      <c r="H134" s="23" t="s"/>
    </row>
    <row r="135" spans="1:8">
      <c r="A135" s="53" t="s">
        <v>16</v>
      </c>
      <c r="B135" s="54">
        <v>2734.9</v>
      </c>
      <c r="C135" s="69">
        <f>=SUM(B135:B139)*0.2</f>
        <v>2601.244</v>
      </c>
      <c r="D135" s="70">
        <f>=SUM(B135:B139)*0.8/3</f>
        <v>3468.32533333333</v>
      </c>
      <c r="E135" s="53" t="s">
        <v>16</v>
      </c>
      <c r="F135" s="55">
        <f>=D135-B135</f>
        <v>733.425333333334</v>
      </c>
      <c r="G135" s="71">
        <f>=D140</f>
        <v>0</v>
      </c>
      <c r="H135" s="31" t="s"/>
    </row>
    <row r="136" spans="1:8">
      <c r="A136" s="56" t="s">
        <v>17</v>
      </c>
      <c r="B136" s="57">
        <v>4155.7</v>
      </c>
      <c r="E136" s="56" t="s">
        <v>17</v>
      </c>
      <c r="F136" s="58">
        <f>=(D135-B136)</f>
        <v>-687.374666666666</v>
      </c>
      <c r="H136" s="31" t="s"/>
    </row>
    <row r="137" spans="1:8">
      <c r="A137" s="59" t="s">
        <v>18</v>
      </c>
      <c r="B137" s="60">
        <v>6115.62</v>
      </c>
      <c r="E137" s="61" t="s">
        <v>18</v>
      </c>
      <c r="F137" s="62">
        <f>=D135-B137</f>
        <v>-2647.29466666667</v>
      </c>
      <c r="H137" s="31" t="s"/>
    </row>
    <row r="138" spans="1:8">
      <c r="A138" s="63" t="s"/>
      <c r="B138" s="63" t="s"/>
      <c r="E138" s="63" t="s">
        <v>19</v>
      </c>
      <c r="F138" s="64">
        <f>=C135</f>
        <v>2601.244</v>
      </c>
      <c r="G138" s="65">
        <f>=C140</f>
        <v>0</v>
      </c>
      <c r="H138" s="31" t="s"/>
    </row>
    <row r="139" spans="1:8">
      <c r="A139" s="63" t="s">
        <v>20</v>
      </c>
      <c r="B139" s="63" t="s"/>
      <c r="E139" s="63" t="s"/>
      <c r="F139" s="65" t="s"/>
      <c r="G139" s="65" t="s"/>
      <c r="H139" s="31" t="s"/>
    </row>
    <row r="140" spans="1:8">
      <c r="A140" s="66" t="s">
        <v>21</v>
      </c>
      <c r="B140" s="72" t="s"/>
      <c r="C140" s="72">
        <f>=B140*0.2</f>
        <v>0</v>
      </c>
      <c r="D140" s="72">
        <f>=B140*0.8/3</f>
        <v>0</v>
      </c>
      <c r="E140" s="66" t="s"/>
      <c r="F140" s="66" t="s"/>
      <c r="G140" s="73" t="s"/>
      <c r="H140" s="31" t="s"/>
    </row>
    <row r="141" spans="1:1">
      <c r="A141" s="85" t="s"/>
    </row>
    <row r="144" spans="1:8">
      <c r="A144" s="74" t="s">
        <v>4</v>
      </c>
      <c r="B144" s="75" t="s">
        <v>32</v>
      </c>
      <c r="F144" s="16" t="s">
        <v>6</v>
      </c>
      <c r="G144" s="16" t="s">
        <v>7</v>
      </c>
      <c r="H144" s="16" t="s">
        <v>8</v>
      </c>
    </row>
    <row r="145" spans="1:8">
      <c r="A145" s="48">
        <f>=SUM(B148:B153)</f>
        <v>21638.94</v>
      </c>
      <c r="F145" s="20">
        <f>=F2/11</f>
        <v>19001.6672727273</v>
      </c>
      <c r="G145" s="49">
        <f>=G2/11</f>
        <v>3800.33345454546</v>
      </c>
      <c r="H145" s="20">
        <f>=H2/11</f>
        <v>5067.11127272727</v>
      </c>
    </row>
    <row r="147" spans="1:8">
      <c r="A147" s="50" t="s">
        <v>9</v>
      </c>
      <c r="B147" s="51" t="s">
        <v>10</v>
      </c>
      <c r="C147" s="51" t="s">
        <v>11</v>
      </c>
      <c r="D147" s="51" t="s">
        <v>12</v>
      </c>
      <c r="E147" s="51" t="s">
        <v>13</v>
      </c>
      <c r="F147" s="51" t="s">
        <v>14</v>
      </c>
      <c r="G147" s="51" t="s">
        <v>15</v>
      </c>
      <c r="H147" s="23" t="s"/>
    </row>
    <row r="148" spans="1:8">
      <c r="A148" s="53" t="s">
        <v>16</v>
      </c>
      <c r="B148" s="328">
        <v>6131.51</v>
      </c>
      <c r="C148" s="69">
        <f>=SUM(B148:B152)*0.2</f>
        <v>4327.788</v>
      </c>
      <c r="D148" s="70">
        <f>=SUM(B148:B152)*0.8/3</f>
        <v>5770.384</v>
      </c>
      <c r="E148" s="53" t="s">
        <v>16</v>
      </c>
      <c r="F148" s="55">
        <f>=D148-B148</f>
        <v>-361.125999999999</v>
      </c>
      <c r="G148" s="71">
        <f>=D153</f>
        <v>0</v>
      </c>
      <c r="H148" s="31" t="s"/>
    </row>
    <row r="149" spans="1:8">
      <c r="A149" s="56" t="s">
        <v>17</v>
      </c>
      <c r="B149" s="57">
        <v>6252.85</v>
      </c>
      <c r="E149" s="56" t="s">
        <v>17</v>
      </c>
      <c r="F149" s="58">
        <f>=(D148-B149)</f>
        <v>-482.466</v>
      </c>
      <c r="H149" s="31" t="s"/>
    </row>
    <row r="150" spans="1:8">
      <c r="A150" s="59" t="s">
        <v>18</v>
      </c>
      <c r="B150" s="60">
        <v>9254.58</v>
      </c>
      <c r="E150" s="61" t="s">
        <v>18</v>
      </c>
      <c r="F150" s="62">
        <f>=D148-B150</f>
        <v>-3484.196</v>
      </c>
      <c r="H150" s="31" t="s"/>
    </row>
    <row r="151" spans="1:8">
      <c r="A151" s="63" t="s"/>
      <c r="B151" s="63" t="s"/>
      <c r="E151" s="63" t="s">
        <v>19</v>
      </c>
      <c r="F151" s="64">
        <f>=C148</f>
        <v>4327.788</v>
      </c>
      <c r="G151" s="65">
        <f>=C153</f>
        <v>0</v>
      </c>
      <c r="H151" s="31" t="s"/>
    </row>
    <row r="152" spans="1:8">
      <c r="A152" s="63" t="s">
        <v>20</v>
      </c>
      <c r="B152" s="63" t="s"/>
      <c r="E152" s="63" t="s"/>
      <c r="F152" s="65" t="s"/>
      <c r="G152" s="65" t="s"/>
      <c r="H152" s="31" t="s"/>
    </row>
    <row r="153" spans="1:8">
      <c r="A153" s="66" t="s">
        <v>21</v>
      </c>
      <c r="B153" s="72" t="s"/>
      <c r="C153" s="72">
        <f>=B153*0.2</f>
        <v>0</v>
      </c>
      <c r="D153" s="72">
        <f>=B153*0.8/3</f>
        <v>0</v>
      </c>
      <c r="E153" s="66" t="s"/>
      <c r="F153" s="66" t="s"/>
      <c r="G153" s="73" t="s"/>
      <c r="H153" s="31" t="s"/>
    </row>
    <row r="154" spans="1:1">
      <c r="A154" s="85" t="s"/>
    </row>
    <row r="157" spans="1:8">
      <c r="A157" s="74" t="s">
        <v>4</v>
      </c>
      <c r="B157" s="75" t="s">
        <v>33</v>
      </c>
      <c r="F157" s="16" t="s">
        <v>6</v>
      </c>
      <c r="G157" s="16" t="s">
        <v>7</v>
      </c>
      <c r="H157" s="16" t="s">
        <v>8</v>
      </c>
    </row>
    <row r="158" spans="1:8">
      <c r="A158" s="48">
        <f>=SUM(B161:B166)</f>
        <v>21087.63</v>
      </c>
      <c r="F158" s="20">
        <f>=F2/12</f>
        <v>17418.195</v>
      </c>
      <c r="G158" s="49">
        <f>=G2/12</f>
        <v>3483.639</v>
      </c>
      <c r="H158" s="20">
        <f>=H2/12</f>
        <v>4644.852</v>
      </c>
    </row>
    <row r="160" spans="1:8">
      <c r="A160" s="50" t="s">
        <v>9</v>
      </c>
      <c r="B160" s="51" t="s">
        <v>10</v>
      </c>
      <c r="C160" s="51" t="s">
        <v>11</v>
      </c>
      <c r="D160" s="51" t="s">
        <v>12</v>
      </c>
      <c r="E160" s="51" t="s">
        <v>13</v>
      </c>
      <c r="F160" s="51" t="s">
        <v>14</v>
      </c>
      <c r="G160" s="51" t="s">
        <v>15</v>
      </c>
      <c r="H160" s="23" t="s"/>
    </row>
    <row r="161" spans="1:8">
      <c r="A161" s="53" t="s">
        <v>16</v>
      </c>
      <c r="B161" s="329">
        <v>6622.98</v>
      </c>
      <c r="C161" s="69">
        <f>=SUM(B161:B165)*0.2</f>
        <v>4217.526</v>
      </c>
      <c r="D161" s="70">
        <f>=SUM(B161:B165)*0.8/3</f>
        <v>5623.368</v>
      </c>
      <c r="E161" s="53" t="s">
        <v>16</v>
      </c>
      <c r="F161" s="55">
        <f>=D161-B161</f>
        <v>-999.612</v>
      </c>
      <c r="G161" s="71">
        <f>=D166</f>
        <v>0</v>
      </c>
      <c r="H161" s="31" t="s"/>
    </row>
    <row r="162" spans="1:8">
      <c r="A162" s="56" t="s">
        <v>17</v>
      </c>
      <c r="B162" s="329">
        <v>6744.96</v>
      </c>
      <c r="E162" s="56" t="s">
        <v>17</v>
      </c>
      <c r="F162" s="58">
        <f>=(D161-B162)</f>
        <v>-1121.592</v>
      </c>
      <c r="H162" s="31" t="s"/>
    </row>
    <row r="163" spans="1:8">
      <c r="A163" s="59" t="s">
        <v>18</v>
      </c>
      <c r="B163" s="329">
        <v>9812.69</v>
      </c>
      <c r="E163" s="61" t="s">
        <v>18</v>
      </c>
      <c r="F163" s="62">
        <f>=D161-B163</f>
        <v>-4189.322</v>
      </c>
      <c r="H163" s="31" t="s"/>
    </row>
    <row r="164" spans="1:8">
      <c r="A164" s="63" t="s"/>
      <c r="B164" s="63" t="s"/>
      <c r="E164" s="63" t="s">
        <v>19</v>
      </c>
      <c r="F164" s="64">
        <f>=C161</f>
        <v>4217.526</v>
      </c>
      <c r="G164" s="65">
        <f>=C166</f>
        <v>0</v>
      </c>
      <c r="H164" s="31" t="s"/>
    </row>
    <row r="165" spans="1:8">
      <c r="A165" s="63" t="s">
        <v>20</v>
      </c>
      <c r="B165" s="63">
        <v>-2093</v>
      </c>
      <c r="E165" s="63" t="s"/>
      <c r="F165" s="65" t="s"/>
      <c r="G165" s="65" t="s"/>
      <c r="H165" s="31" t="s"/>
    </row>
    <row r="166" spans="1:8">
      <c r="A166" s="66" t="s">
        <v>21</v>
      </c>
      <c r="B166" s="72" t="s"/>
      <c r="C166" s="72">
        <f>=B166*0.2</f>
        <v>0</v>
      </c>
      <c r="D166" s="72">
        <f>=B166*0.8/3</f>
        <v>0</v>
      </c>
      <c r="E166" s="66" t="s"/>
      <c r="F166" s="66" t="s"/>
      <c r="G166" s="73" t="s"/>
      <c r="H166" s="31" t="s"/>
    </row>
    <row r="167" spans="1:1">
      <c r="A167" s="85" t="s"/>
    </row>
  </sheetData>
  <mergeCells count="115">
    <mergeCell ref="G2:G4"/>
    <mergeCell ref="F2:F4"/>
    <mergeCell ref="H2:H4"/>
    <mergeCell ref="G9:G11"/>
    <mergeCell ref="D9:D13"/>
    <mergeCell ref="C9:C13"/>
    <mergeCell ref="G6:G7"/>
    <mergeCell ref="A6:A7"/>
    <mergeCell ref="B5:E7"/>
    <mergeCell ref="F6:F7"/>
    <mergeCell ref="H6:H7"/>
    <mergeCell ref="A15:H17"/>
    <mergeCell ref="B18:E20"/>
    <mergeCell ref="A19:A20"/>
    <mergeCell ref="F19:F20"/>
    <mergeCell ref="G19:G20"/>
    <mergeCell ref="H19:H20"/>
    <mergeCell ref="C22:C26"/>
    <mergeCell ref="D22:D26"/>
    <mergeCell ref="G22:G24"/>
    <mergeCell ref="B31:E33"/>
    <mergeCell ref="A32:A33"/>
    <mergeCell ref="F32:F33"/>
    <mergeCell ref="G32:G33"/>
    <mergeCell ref="H32:H33"/>
    <mergeCell ref="C35:C39"/>
    <mergeCell ref="D35:D39"/>
    <mergeCell ref="G35:G37"/>
    <mergeCell ref="C44:C48"/>
    <mergeCell ref="D44:D48"/>
    <mergeCell ref="G44:G46"/>
    <mergeCell ref="A41:H42"/>
    <mergeCell ref="A50:H52"/>
    <mergeCell ref="A28:H30"/>
    <mergeCell ref="B53:E55"/>
    <mergeCell ref="A54:A55"/>
    <mergeCell ref="F54:F55"/>
    <mergeCell ref="G54:G55"/>
    <mergeCell ref="H54:H55"/>
    <mergeCell ref="C57:C61"/>
    <mergeCell ref="D57:D61"/>
    <mergeCell ref="G57:G59"/>
    <mergeCell ref="A63:H65"/>
    <mergeCell ref="B66:E68"/>
    <mergeCell ref="A67:A68"/>
    <mergeCell ref="F67:F68"/>
    <mergeCell ref="G67:G68"/>
    <mergeCell ref="H67:H68"/>
    <mergeCell ref="C70:C74"/>
    <mergeCell ref="D70:D74"/>
    <mergeCell ref="G70:G72"/>
    <mergeCell ref="A76:H78"/>
    <mergeCell ref="B79:E81"/>
    <mergeCell ref="A80:A81"/>
    <mergeCell ref="F80:F81"/>
    <mergeCell ref="G80:G81"/>
    <mergeCell ref="H80:H81"/>
    <mergeCell ref="C83:C87"/>
    <mergeCell ref="D83:D87"/>
    <mergeCell ref="G83:G85"/>
    <mergeCell ref="A89:H91"/>
    <mergeCell ref="B92:E94"/>
    <mergeCell ref="A93:A94"/>
    <mergeCell ref="F93:F94"/>
    <mergeCell ref="G93:G94"/>
    <mergeCell ref="H93:H94"/>
    <mergeCell ref="C96:C100"/>
    <mergeCell ref="D96:D100"/>
    <mergeCell ref="G96:G98"/>
    <mergeCell ref="A102:H104"/>
    <mergeCell ref="B105:E107"/>
    <mergeCell ref="A106:A107"/>
    <mergeCell ref="F106:F107"/>
    <mergeCell ref="G106:G107"/>
    <mergeCell ref="H106:H107"/>
    <mergeCell ref="C109:C113"/>
    <mergeCell ref="D109:D113"/>
    <mergeCell ref="G109:G111"/>
    <mergeCell ref="A115:H117"/>
    <mergeCell ref="B118:E120"/>
    <mergeCell ref="A119:A120"/>
    <mergeCell ref="F119:F120"/>
    <mergeCell ref="G119:G120"/>
    <mergeCell ref="H119:H120"/>
    <mergeCell ref="C122:C126"/>
    <mergeCell ref="D122:D126"/>
    <mergeCell ref="G122:G124"/>
    <mergeCell ref="A128:H130"/>
    <mergeCell ref="B131:E133"/>
    <mergeCell ref="A132:A133"/>
    <mergeCell ref="F132:F133"/>
    <mergeCell ref="G132:G133"/>
    <mergeCell ref="H132:H133"/>
    <mergeCell ref="C135:C139"/>
    <mergeCell ref="D135:D139"/>
    <mergeCell ref="G135:G137"/>
    <mergeCell ref="A141:H143"/>
    <mergeCell ref="B144:E146"/>
    <mergeCell ref="A145:A146"/>
    <mergeCell ref="F145:F146"/>
    <mergeCell ref="G145:G146"/>
    <mergeCell ref="H145:H146"/>
    <mergeCell ref="C148:C152"/>
    <mergeCell ref="D148:D152"/>
    <mergeCell ref="G148:G150"/>
    <mergeCell ref="A154:H156"/>
    <mergeCell ref="B157:E159"/>
    <mergeCell ref="A158:A159"/>
    <mergeCell ref="F158:F159"/>
    <mergeCell ref="G158:G159"/>
    <mergeCell ref="H158:H159"/>
    <mergeCell ref="C161:C165"/>
    <mergeCell ref="D161:D165"/>
    <mergeCell ref="G161:G163"/>
    <mergeCell ref="A167:H169"/>
  </mergeCells>
</worksheet>
</file>

<file path=xl/worksheets/sheet2.xml><?xml version="1.0" encoding="utf-8"?>
<worksheet xmlns="http://schemas.openxmlformats.org/spreadsheetml/2006/main">
  <sheetPr/>
  <dimension ref="A28"/>
  <sheetViews>
    <sheetView showGridLines="1" workbookViewId="0"/>
  </sheetViews>
  <sheetFormatPr baseColWidth="13" defaultRowHeight="18" customHeight="1"/>
  <cols>
    <col min="1" max="1" width="26.5742" customWidth="1"/>
    <col min="2" max="2" width="18.8828" customWidth="1"/>
    <col min="3" max="3" width="18.4844" customWidth="1"/>
    <col min="4" max="4" width="17.5312" customWidth="1"/>
    <col min="5" max="5" width="19.6914" customWidth="1"/>
    <col min="6" max="6" width="18.0742" customWidth="1"/>
    <col min="8" max="8" width="22.3906" customWidth="1"/>
    <col min="9" max="9" width="21.3125" customWidth="1"/>
  </cols>
  <sheetData>
    <row r="1" spans="1:17">
      <c r="A1" s="4" t="s"/>
      <c r="B1" s="4" t="s"/>
      <c r="C1" s="4" t="s"/>
      <c r="D1" s="4" t="s"/>
      <c r="E1" s="4" t="s"/>
      <c r="F1" s="4" t="s"/>
      <c r="G1" s="86" t="s"/>
      <c r="H1" s="87" t="s">
        <v>1</v>
      </c>
      <c r="I1" s="87" t="s">
        <f>=N1</f>
        <v>19</v>
      </c>
      <c r="J1" s="88" t="s">
        <f>=O1</f>
        <v>34</v>
      </c>
      <c r="K1" s="88" t="s">
        <f>=P1</f>
        <v>17</v>
      </c>
      <c r="L1" s="88" t="s">
        <f>=Q1</f>
        <v>18</v>
      </c>
      <c r="M1" s="4" t="s"/>
      <c r="N1" s="89" t="s">
        <v>19</v>
      </c>
      <c r="O1" s="89" t="s">
        <v>34</v>
      </c>
      <c r="P1" s="89" t="s">
        <v>17</v>
      </c>
      <c r="Q1" s="89" t="s">
        <v>18</v>
      </c>
    </row>
    <row r="2" spans="1:17">
      <c r="A2" s="4" t="s"/>
      <c r="B2" s="4" t="s"/>
      <c r="C2" s="4" t="s"/>
      <c r="D2" s="90" t="s"/>
      <c r="E2" s="4" t="s"/>
      <c r="F2" s="4" t="s"/>
      <c r="G2" s="91" t="s"/>
      <c r="H2" s="92">
        <f>=SUM(B:B)</f>
        <v>20670.1</v>
      </c>
      <c r="I2" s="93">
        <f>=H2*0.2</f>
        <v>4134.02</v>
      </c>
      <c r="J2" s="94">
        <f>=H2*0.8/3</f>
        <v>5512.02666666667</v>
      </c>
      <c r="K2" s="94">
        <f>=H2*0.8/3</f>
        <v>5512.02666666667</v>
      </c>
      <c r="L2" s="94">
        <f>=H2*0.8/3</f>
        <v>5512.02666666667</v>
      </c>
      <c r="M2" s="89" t="s">
        <v>35</v>
      </c>
      <c r="N2" s="89">
        <f>=1*0.2</f>
        <v>0.2</v>
      </c>
      <c r="O2" s="89">
        <f>=1*0.8/3</f>
        <v>0.266666666666667</v>
      </c>
      <c r="P2" s="89">
        <f>=1*0.8/3</f>
        <v>0.266666666666667</v>
      </c>
      <c r="Q2" s="89">
        <f>=1*0.8/3</f>
        <v>0.266666666666667</v>
      </c>
    </row>
    <row r="3" spans="1:17">
      <c r="A3" s="4" t="s"/>
      <c r="B3" s="4" t="s"/>
      <c r="C3" s="4" t="s"/>
      <c r="D3" s="90" t="s"/>
      <c r="E3" s="4" t="s"/>
      <c r="F3" s="4" t="s"/>
      <c r="G3" s="91" t="s"/>
      <c r="M3" s="4" t="s"/>
      <c r="N3" s="4" t="s"/>
      <c r="O3" s="4" t="s"/>
      <c r="P3" s="4" t="s"/>
      <c r="Q3" s="4" t="s"/>
    </row>
    <row r="4" spans="1:17">
      <c r="A4" s="4" t="s"/>
      <c r="B4" s="4" t="s"/>
      <c r="C4" s="4" t="s"/>
      <c r="D4" s="90" t="s"/>
      <c r="E4" s="4" t="s"/>
      <c r="F4" s="4" t="s"/>
      <c r="G4" s="91" t="s"/>
      <c r="M4" s="4" t="s"/>
      <c r="N4" s="4" t="s"/>
      <c r="O4" s="4" t="s"/>
      <c r="P4" s="4" t="s"/>
      <c r="Q4" s="4" t="s"/>
    </row>
    <row r="5" spans="1:17">
      <c r="A5" s="95" t="s">
        <v>4</v>
      </c>
      <c r="B5" s="96" t="s">
        <v>5</v>
      </c>
      <c r="G5" s="97" t="s"/>
      <c r="H5" s="98" t="s">
        <v>6</v>
      </c>
      <c r="I5" s="98" t="s">
        <f>=N1</f>
        <v>19</v>
      </c>
      <c r="J5" s="99" t="s">
        <f>=O1</f>
        <v>34</v>
      </c>
      <c r="K5" s="99" t="s">
        <f>=P1</f>
        <v>17</v>
      </c>
      <c r="L5" s="99" t="s">
        <f>=Q1</f>
        <v>18</v>
      </c>
      <c r="M5" s="4" t="s"/>
      <c r="N5" s="4" t="s"/>
      <c r="O5" s="4" t="s"/>
      <c r="P5" s="4" t="s"/>
      <c r="Q5" s="4" t="s"/>
    </row>
    <row r="6" spans="1:17">
      <c r="A6" s="100">
        <f>=SUM(B9:B14)</f>
        <v>20670.1</v>
      </c>
      <c r="G6" s="101" t="s"/>
      <c r="H6" s="102">
        <f>=A6</f>
        <v>20670.1</v>
      </c>
      <c r="I6" s="103">
        <f>=H6*N2</f>
        <v>4134.02</v>
      </c>
      <c r="J6" s="104">
        <f>=A6*O2</f>
        <v>5512.02666666667</v>
      </c>
      <c r="K6" s="104">
        <f>=A6*P2</f>
        <v>5512.02666666667</v>
      </c>
      <c r="L6" s="104">
        <f>=A6*P2</f>
        <v>5512.02666666667</v>
      </c>
      <c r="M6" s="4" t="s"/>
      <c r="N6" s="4" t="s"/>
      <c r="O6" s="4" t="s"/>
      <c r="P6" s="4" t="s"/>
      <c r="Q6" s="4" t="s"/>
    </row>
    <row r="7" spans="7:17">
      <c r="G7" s="101" t="s"/>
      <c r="M7" s="4" t="s"/>
      <c r="N7" s="4" t="s"/>
      <c r="O7" s="4" t="s"/>
      <c r="P7" s="4" t="s"/>
      <c r="Q7" s="4" t="s"/>
    </row>
    <row r="8" spans="1:17">
      <c r="A8" s="105" t="s">
        <v>36</v>
      </c>
      <c r="B8" s="106" t="s">
        <v>10</v>
      </c>
      <c r="C8" s="106" t="s">
        <v>37</v>
      </c>
      <c r="D8" s="106" t="s">
        <v>19</v>
      </c>
      <c r="E8" s="106" t="s">
        <v>38</v>
      </c>
      <c r="F8" s="106" t="s">
        <v>13</v>
      </c>
      <c r="G8" s="107" t="s">
        <v>39</v>
      </c>
      <c r="H8" s="108" t="s">
        <v>40</v>
      </c>
      <c r="I8" s="106" t="s">
        <v>41</v>
      </c>
      <c r="J8" s="105" t="s">
        <v>42</v>
      </c>
      <c r="K8" s="109" t="s"/>
      <c r="L8" s="109" t="s"/>
      <c r="M8" s="4" t="s"/>
      <c r="N8" s="4" t="s"/>
      <c r="O8" s="4" t="s"/>
      <c r="P8" s="4" t="s"/>
      <c r="Q8" s="4" t="s"/>
    </row>
    <row r="9" spans="1:17">
      <c r="A9" s="110" t="s">
        <v>34</v>
      </c>
      <c r="B9" s="111">
        <v>5335.07</v>
      </c>
      <c r="C9" s="112">
        <f>=SUM(B9:B13)</f>
        <v>20062.07</v>
      </c>
      <c r="D9" s="113">
        <f>=C9*0.2</f>
        <v>4012.414</v>
      </c>
      <c r="E9" s="110">
        <f>=C9*0.8</f>
        <v>16049.656</v>
      </c>
      <c r="F9" s="110" t="s">
        <f>=N1</f>
        <v>19</v>
      </c>
      <c r="G9" s="114">
        <f>=D9</f>
        <v>4012.414</v>
      </c>
      <c r="H9" s="114">
        <f>=G9-0</f>
        <v>4012.414</v>
      </c>
      <c r="I9" s="115">
        <f>=E14*0.2</f>
        <v>97.2848</v>
      </c>
      <c r="J9" s="116">
        <f>=G9+I9</f>
        <v>4109.6988</v>
      </c>
      <c r="K9" s="117" t="s"/>
      <c r="L9" s="117" t="s"/>
      <c r="M9" s="4" t="s"/>
      <c r="N9" s="4" t="s"/>
      <c r="O9" s="4" t="s"/>
      <c r="P9" s="4" t="s"/>
      <c r="Q9" s="4" t="s"/>
    </row>
    <row r="10" spans="1:17">
      <c r="A10" s="118" t="s">
        <v>17</v>
      </c>
      <c r="B10" s="119">
        <v>5737.81</v>
      </c>
      <c r="F10" s="110" t="s">
        <f>=O1</f>
        <v>34</v>
      </c>
      <c r="G10" s="114">
        <f>=E9/3</f>
        <v>5349.88533333333</v>
      </c>
      <c r="H10" s="120">
        <f>=G10-B9</f>
        <v>14.8153333333339</v>
      </c>
      <c r="I10" s="115">
        <f>=E14/3</f>
        <v>162.141333333333</v>
      </c>
      <c r="J10" s="116">
        <f>=G10+I10</f>
        <v>5512.02666666667</v>
      </c>
      <c r="K10" s="117" t="s"/>
      <c r="L10" s="117" t="s"/>
      <c r="M10" s="4" t="s"/>
      <c r="N10" s="4" t="s"/>
      <c r="O10" s="4" t="s"/>
      <c r="P10" s="4" t="s"/>
      <c r="Q10" s="4" t="s"/>
    </row>
    <row r="11" spans="1:17">
      <c r="A11" s="121" t="s">
        <v>18</v>
      </c>
      <c r="B11" s="122">
        <v>8989.19</v>
      </c>
      <c r="F11" s="110" t="s">
        <f>=P1</f>
        <v>17</v>
      </c>
      <c r="G11" s="114">
        <f>=E9/3</f>
        <v>5349.88533333333</v>
      </c>
      <c r="H11" s="120">
        <f>=G11-B10</f>
        <v>-387.924666666667</v>
      </c>
      <c r="I11" s="115">
        <f>=E14/3</f>
        <v>162.141333333333</v>
      </c>
      <c r="J11" s="116">
        <f>=G11+I11</f>
        <v>5512.02666666667</v>
      </c>
      <c r="K11" s="117" t="s"/>
      <c r="L11" s="117" t="s"/>
      <c r="M11" s="4" t="s"/>
      <c r="N11" s="4" t="s"/>
      <c r="O11" s="4" t="s"/>
      <c r="P11" s="4" t="s"/>
      <c r="Q11" s="4" t="s"/>
    </row>
    <row r="12" spans="1:17">
      <c r="A12" s="63" t="s"/>
      <c r="B12" s="63" t="s"/>
      <c r="F12" s="110" t="s">
        <f>=Q1</f>
        <v>18</v>
      </c>
      <c r="G12" s="114">
        <f>=E9/3</f>
        <v>5349.88533333333</v>
      </c>
      <c r="H12" s="120">
        <f>=G12-B11</f>
        <v>-3639.30466666667</v>
      </c>
      <c r="I12" s="123">
        <f>=E14/3</f>
        <v>162.141333333333</v>
      </c>
      <c r="J12" s="116">
        <f>=G12+I12</f>
        <v>5512.02666666667</v>
      </c>
      <c r="K12" s="117" t="s"/>
      <c r="L12" s="117" t="s"/>
      <c r="M12" s="4" t="s"/>
      <c r="N12" s="4" t="s"/>
      <c r="O12" s="4" t="s"/>
      <c r="P12" s="4" t="s"/>
      <c r="Q12" s="4" t="s"/>
    </row>
    <row r="13" spans="1:17">
      <c r="A13" s="124" t="s">
        <v>20</v>
      </c>
      <c r="B13" s="63" t="s"/>
      <c r="F13" s="110" t="s"/>
      <c r="G13" s="125" t="s"/>
      <c r="H13" s="126" t="s"/>
      <c r="I13" s="127" t="s"/>
      <c r="J13" s="116" t="s"/>
      <c r="K13" s="117" t="s"/>
      <c r="L13" s="117" t="s"/>
      <c r="M13" s="4" t="s"/>
      <c r="N13" s="4" t="s"/>
      <c r="O13" s="4" t="s"/>
      <c r="P13" s="4" t="s"/>
      <c r="Q13" s="4" t="s"/>
    </row>
    <row r="14" spans="1:17">
      <c r="A14" s="128" t="s">
        <v>21</v>
      </c>
      <c r="B14" s="129">
        <v>608.03</v>
      </c>
      <c r="C14" s="129" t="s"/>
      <c r="D14" s="129">
        <f>=B14*0.2</f>
        <v>121.606</v>
      </c>
      <c r="E14" s="128">
        <f>=B14*0.8</f>
        <v>486.424</v>
      </c>
      <c r="F14" s="66" t="s"/>
      <c r="G14" s="66" t="s"/>
      <c r="H14" s="66" t="s"/>
      <c r="I14" s="73" t="s"/>
      <c r="J14" s="117" t="s"/>
      <c r="K14" s="117" t="s"/>
      <c r="L14" s="117" t="s"/>
      <c r="M14" s="4" t="s"/>
      <c r="N14" s="4" t="s"/>
      <c r="O14" s="4" t="s"/>
      <c r="P14" s="4" t="s"/>
      <c r="Q14" s="4" t="s"/>
    </row>
    <row r="15" spans="1:17">
      <c r="A15" s="130" t="s"/>
      <c r="M15" s="4" t="s"/>
      <c r="N15" s="4" t="s"/>
      <c r="O15" s="4" t="s"/>
      <c r="P15" s="4" t="s"/>
      <c r="Q15" s="4" t="s"/>
    </row>
    <row r="16" spans="13:17">
      <c r="M16" s="4" t="s"/>
      <c r="N16" s="4" t="s"/>
      <c r="O16" s="4" t="s"/>
      <c r="P16" s="4" t="s"/>
      <c r="Q16" s="4" t="s"/>
    </row>
    <row r="17" spans="13:17">
      <c r="M17" s="4" t="s"/>
      <c r="N17" s="4" t="s"/>
      <c r="O17" s="4" t="s"/>
      <c r="P17" s="4" t="s"/>
      <c r="Q17" s="4" t="s"/>
    </row>
    <row r="18" spans="1:12">
      <c r="A18" s="95" t="s">
        <v>4</v>
      </c>
      <c r="B18" s="96" t="s">
        <v>22</v>
      </c>
      <c r="G18" s="97" t="s"/>
      <c r="H18" s="98" t="s">
        <v>6</v>
      </c>
      <c r="I18" s="131" t="s">
        <v>19</v>
      </c>
      <c r="J18" s="132" t="s">
        <v>34</v>
      </c>
      <c r="K18" s="132" t="s">
        <v>17</v>
      </c>
      <c r="L18" s="132" t="s">
        <v>18</v>
      </c>
    </row>
    <row r="19" spans="1:12" ht="24.75" customHeight="1">
      <c r="A19" s="100">
        <f>=SUM(B22:B27)</f>
        <v>0</v>
      </c>
      <c r="G19" s="101" t="s"/>
      <c r="H19" s="102">
        <f>=H2/2</f>
        <v>10335.05</v>
      </c>
      <c r="I19" s="133" t="s"/>
      <c r="J19" s="134">
        <v>5512.02666666667</v>
      </c>
      <c r="K19" s="134">
        <v>5512.02666666667</v>
      </c>
      <c r="L19" s="134">
        <v>5512.02666666667</v>
      </c>
    </row>
    <row r="20" spans="7:7">
      <c r="G20" s="101" t="s"/>
    </row>
    <row r="21" spans="1:12">
      <c r="A21" s="105" t="s">
        <v>36</v>
      </c>
      <c r="B21" s="106" t="s">
        <v>10</v>
      </c>
      <c r="C21" s="106" t="s">
        <v>37</v>
      </c>
      <c r="D21" s="106" t="s">
        <v>19</v>
      </c>
      <c r="E21" s="106" t="s">
        <v>38</v>
      </c>
      <c r="F21" s="106" t="s">
        <v>13</v>
      </c>
      <c r="G21" s="107" t="s">
        <v>39</v>
      </c>
      <c r="H21" s="108" t="s">
        <v>40</v>
      </c>
      <c r="I21" s="106" t="s">
        <v>41</v>
      </c>
      <c r="J21" s="105" t="s">
        <v>42</v>
      </c>
      <c r="K21" s="109" t="s"/>
      <c r="L21" s="109" t="s"/>
    </row>
    <row r="22" spans="1:12">
      <c r="A22" s="110" t="s">
        <v>34</v>
      </c>
      <c r="B22" s="111" t="s"/>
      <c r="C22" s="112">
        <f>=SUM(B22:B26)</f>
        <v>0</v>
      </c>
      <c r="D22" s="113">
        <f>=C22*0.2</f>
        <v>0</v>
      </c>
      <c r="E22" s="110">
        <f>=C22*0.8</f>
        <v>0</v>
      </c>
      <c r="F22" s="135" t="s">
        <v>19</v>
      </c>
      <c r="G22" s="136">
        <f>=D22</f>
        <v>0</v>
      </c>
      <c r="H22" s="136">
        <f>=G22-0</f>
        <v>0</v>
      </c>
      <c r="I22" s="137">
        <f>=E27*0.2</f>
        <v>0</v>
      </c>
      <c r="J22" s="116">
        <f>=G22+I22</f>
        <v>0</v>
      </c>
      <c r="K22" s="117" t="s"/>
      <c r="L22" s="117" t="s"/>
    </row>
    <row r="23" spans="1:12">
      <c r="A23" s="118" t="s">
        <v>17</v>
      </c>
      <c r="B23" s="119" t="s"/>
      <c r="F23" s="135" t="s">
        <v>34</v>
      </c>
      <c r="G23" s="114">
        <f>=E22/3</f>
        <v>0</v>
      </c>
      <c r="H23" s="120">
        <f>=G23-B22</f>
        <v>0</v>
      </c>
      <c r="I23" s="115">
        <f>=E27/3</f>
        <v>0</v>
      </c>
      <c r="J23" s="116">
        <f>=G23+I23</f>
        <v>0</v>
      </c>
      <c r="K23" s="117" t="s"/>
      <c r="L23" s="117" t="s"/>
    </row>
    <row r="24" spans="1:12">
      <c r="A24" s="121" t="s">
        <v>18</v>
      </c>
      <c r="B24" s="122" t="s"/>
      <c r="F24" s="135" t="s">
        <v>17</v>
      </c>
      <c r="G24" s="114">
        <f>=E22/3</f>
        <v>0</v>
      </c>
      <c r="H24" s="120">
        <f>=G24-B23</f>
        <v>0</v>
      </c>
      <c r="I24" s="115">
        <f>=E27/3</f>
        <v>0</v>
      </c>
      <c r="J24" s="116">
        <f>=G24+I24</f>
        <v>0</v>
      </c>
      <c r="K24" s="117" t="s"/>
      <c r="L24" s="117" t="s"/>
    </row>
    <row r="25" spans="1:12">
      <c r="A25" s="63" t="s"/>
      <c r="B25" s="63" t="s"/>
      <c r="F25" s="135" t="s">
        <v>18</v>
      </c>
      <c r="G25" s="114">
        <f>=E22/3</f>
        <v>0</v>
      </c>
      <c r="H25" s="120">
        <f>=G25-B24</f>
        <v>0</v>
      </c>
      <c r="I25" s="123">
        <f>=E27/3</f>
        <v>0</v>
      </c>
      <c r="J25" s="116">
        <f>=G25+I25</f>
        <v>0</v>
      </c>
      <c r="K25" s="117" t="s"/>
      <c r="L25" s="117" t="s"/>
    </row>
    <row r="26" spans="1:12">
      <c r="A26" s="124" t="s">
        <v>20</v>
      </c>
      <c r="B26" s="63" t="s"/>
      <c r="F26" s="110" t="s"/>
      <c r="G26" s="125" t="s"/>
      <c r="H26" s="126" t="s"/>
      <c r="I26" s="127" t="s"/>
      <c r="J26" s="116" t="s"/>
      <c r="K26" s="117" t="s"/>
      <c r="L26" s="117" t="s"/>
    </row>
    <row r="27" spans="1:12">
      <c r="A27" s="128" t="s">
        <v>21</v>
      </c>
      <c r="B27" s="129" t="s"/>
      <c r="C27" s="129" t="s"/>
      <c r="D27" s="129">
        <f>=B27*0.2</f>
        <v>0</v>
      </c>
      <c r="E27" s="128">
        <f>=B27*0.8</f>
        <v>0</v>
      </c>
      <c r="F27" s="66" t="s"/>
      <c r="G27" s="66" t="s"/>
      <c r="H27" s="66" t="s"/>
      <c r="I27" s="73" t="s"/>
      <c r="J27" s="117" t="s"/>
      <c r="K27" s="117" t="s"/>
      <c r="L27" s="117" t="s"/>
    </row>
    <row r="28" spans="1:1">
      <c r="A28" s="130" t="s"/>
    </row>
  </sheetData>
  <mergeCells count="27">
    <mergeCell ref="H2:H4"/>
    <mergeCell ref="I2:I4"/>
    <mergeCell ref="J2:J4"/>
    <mergeCell ref="K2:K4"/>
    <mergeCell ref="L2:L4"/>
    <mergeCell ref="B5:F7"/>
    <mergeCell ref="A6:A7"/>
    <mergeCell ref="H6:H7"/>
    <mergeCell ref="I6:I7"/>
    <mergeCell ref="J6:J7"/>
    <mergeCell ref="K6:K7"/>
    <mergeCell ref="L6:L7"/>
    <mergeCell ref="C9:C13"/>
    <mergeCell ref="D9:D13"/>
    <mergeCell ref="E9:E13"/>
    <mergeCell ref="A15:L17"/>
    <mergeCell ref="B18:F20"/>
    <mergeCell ref="A19:A20"/>
    <mergeCell ref="H19:H20"/>
    <mergeCell ref="C22:C26"/>
    <mergeCell ref="D22:D26"/>
    <mergeCell ref="E22:E26"/>
    <mergeCell ref="A28:L30"/>
    <mergeCell ref="I19:I20"/>
    <mergeCell ref="J19:J20"/>
    <mergeCell ref="K19:K20"/>
    <mergeCell ref="L19:L20"/>
  </mergeCells>
</worksheet>
</file>

<file path=xl/worksheets/sheet3.xml><?xml version="1.0" encoding="utf-8"?>
<worksheet xmlns="http://schemas.openxmlformats.org/spreadsheetml/2006/main">
  <sheetPr codeName="Z2024">
    <tabColor/>
  </sheetPr>
  <dimension ref="A167"/>
  <sheetViews>
    <sheetView showGridLines="1" workbookViewId="0"/>
  </sheetViews>
  <sheetFormatPr baseColWidth="13" defaultRowHeight="18" customHeight="1"/>
  <cols>
    <col min="1" max="1" width="23.2031" customWidth="1"/>
    <col min="2" max="2" width="16.4531" customWidth="1"/>
    <col min="3" max="3" width="23.6016" customWidth="1"/>
    <col min="4" max="4" width="18.6133" customWidth="1"/>
    <col min="5" max="5" width="11.0625" customWidth="1"/>
    <col min="6" max="6" width="27.5117" customWidth="1"/>
    <col min="7" max="7" width="24.0117" customWidth="1"/>
    <col min="8" max="8" width="27.3828" customWidth="1"/>
    <col min="9" max="9" width="23.2031" customWidth="1"/>
  </cols>
  <sheetData>
    <row r="1" spans="1:8" ht="27.75" customHeight="1">
      <c r="A1" s="138" t="s"/>
      <c r="B1" s="138" t="s"/>
      <c r="C1" s="138" t="s"/>
      <c r="D1" s="138" t="s"/>
      <c r="E1" s="138" t="s"/>
      <c r="F1" s="139" t="s">
        <v>1</v>
      </c>
      <c r="G1" s="139" t="s">
        <v>2</v>
      </c>
      <c r="H1" s="140" t="s">
        <v>3</v>
      </c>
    </row>
    <row r="2" spans="1:8" ht="27.75" customHeight="1">
      <c r="A2" s="138" t="s"/>
      <c r="B2" s="138" t="s"/>
      <c r="C2" s="138" t="s"/>
      <c r="D2" s="141" t="s"/>
      <c r="E2" s="138" t="s"/>
      <c r="F2" s="142">
        <f>=SUM(B:B)</f>
        <v>343073.05</v>
      </c>
      <c r="G2" s="143">
        <f>=SUM(C:C)</f>
        <v>68614.61</v>
      </c>
      <c r="H2" s="144">
        <f>=SUM(D:D)</f>
        <v>91486.1466666667</v>
      </c>
    </row>
    <row r="3" spans="1:7">
      <c r="A3" s="138" t="s"/>
      <c r="B3" s="138" t="s"/>
      <c r="C3" s="138" t="s"/>
      <c r="D3" s="145" t="s"/>
      <c r="E3" s="138" t="s"/>
      <c r="G3" s="146" t="s"/>
    </row>
    <row r="4" spans="1:7">
      <c r="A4" s="138" t="s"/>
      <c r="B4" s="138" t="s"/>
      <c r="C4" s="138" t="s"/>
      <c r="D4" s="145" t="s"/>
      <c r="E4" s="138" t="s"/>
      <c r="G4" s="146" t="s"/>
    </row>
    <row r="5" spans="1:8" ht="27.75" customHeight="1">
      <c r="A5" s="147" t="s">
        <v>4</v>
      </c>
      <c r="B5" s="148" t="s">
        <v>5</v>
      </c>
      <c r="F5" s="149" t="s">
        <v>6</v>
      </c>
      <c r="G5" s="149" t="s">
        <v>7</v>
      </c>
      <c r="H5" s="150" t="s">
        <v>8</v>
      </c>
    </row>
    <row r="6" spans="1:8" ht="27.75" customHeight="1">
      <c r="A6" s="151">
        <f>=SUM(B9:B14)</f>
        <v>32233.39</v>
      </c>
      <c r="F6" s="152">
        <f>=A6</f>
        <v>32233.39</v>
      </c>
      <c r="G6" s="153">
        <f>=F6*0.2</f>
        <v>6446.678</v>
      </c>
      <c r="H6" s="154">
        <f>=F6*0.8/3</f>
        <v>8595.57066666667</v>
      </c>
    </row>
    <row r="7" spans="8:8">
      <c r="H7" s="12" t="s"/>
    </row>
    <row r="8" spans="1:9" ht="22.5" customHeight="1">
      <c r="A8" s="155" t="s">
        <v>9</v>
      </c>
      <c r="B8" s="156" t="s">
        <v>10</v>
      </c>
      <c r="C8" s="156" t="s">
        <v>11</v>
      </c>
      <c r="D8" s="156" t="s">
        <v>12</v>
      </c>
      <c r="E8" s="156" t="s">
        <v>13</v>
      </c>
      <c r="F8" s="156" t="s">
        <v>14</v>
      </c>
      <c r="G8" s="156" t="s">
        <v>15</v>
      </c>
      <c r="H8" s="157" t="s"/>
      <c r="I8" s="158" t="s"/>
    </row>
    <row r="9" spans="1:9">
      <c r="A9" s="159" t="s">
        <v>16</v>
      </c>
      <c r="B9" s="160">
        <v>16807.19</v>
      </c>
      <c r="C9" s="161">
        <f>=SUM(B9:B13)*0.2</f>
        <v>6446.678</v>
      </c>
      <c r="D9" s="162">
        <f>=SUM(B9:B13)*0.8/3</f>
        <v>8595.57066666667</v>
      </c>
      <c r="E9" s="159" t="s">
        <v>16</v>
      </c>
      <c r="F9" s="163">
        <f>=D9-B9</f>
        <v>-8211.61933333333</v>
      </c>
      <c r="G9" s="164">
        <f>=D14</f>
        <v>0</v>
      </c>
      <c r="H9" s="165" t="s"/>
      <c r="I9" s="166" t="s"/>
    </row>
    <row r="10" spans="1:9">
      <c r="A10" s="167" t="s">
        <v>17</v>
      </c>
      <c r="B10" s="168">
        <v>4339.16</v>
      </c>
      <c r="E10" s="167" t="s">
        <v>17</v>
      </c>
      <c r="F10" s="169">
        <f>=(D9-B10)</f>
        <v>4256.41066666667</v>
      </c>
      <c r="H10" s="165" t="s"/>
      <c r="I10" s="166" t="s"/>
    </row>
    <row r="11" spans="1:9">
      <c r="A11" s="170" t="s">
        <v>18</v>
      </c>
      <c r="B11" s="171">
        <v>11087.04</v>
      </c>
      <c r="E11" s="172" t="s">
        <v>18</v>
      </c>
      <c r="F11" s="173">
        <f>=D9-B11</f>
        <v>-2491.46933333333</v>
      </c>
      <c r="H11" s="165" t="s"/>
      <c r="I11" s="166" t="s"/>
    </row>
    <row r="12" spans="1:9">
      <c r="A12" s="174" t="s"/>
      <c r="B12" s="174" t="s"/>
      <c r="E12" s="174" t="s">
        <v>19</v>
      </c>
      <c r="F12" s="175">
        <f>=C9</f>
        <v>6446.678</v>
      </c>
      <c r="G12" s="176">
        <f>=C14</f>
        <v>0</v>
      </c>
      <c r="H12" s="165" t="s"/>
      <c r="I12" s="166" t="s"/>
    </row>
    <row r="13" spans="1:9">
      <c r="A13" s="174" t="s">
        <v>20</v>
      </c>
      <c r="B13" s="174" t="s"/>
      <c r="E13" s="174" t="s"/>
      <c r="F13" s="176" t="s"/>
      <c r="G13" s="176" t="s"/>
      <c r="H13" s="165" t="s"/>
      <c r="I13" s="166" t="s"/>
    </row>
    <row r="14" spans="1:9">
      <c r="A14" s="177" t="s">
        <v>21</v>
      </c>
      <c r="B14" s="178" t="s"/>
      <c r="C14" s="178">
        <f>=B14*0.2</f>
        <v>0</v>
      </c>
      <c r="D14" s="178">
        <f>=B14*0.8/3</f>
        <v>0</v>
      </c>
      <c r="E14" s="177" t="s"/>
      <c r="F14" s="177" t="s"/>
      <c r="G14" s="179" t="s"/>
      <c r="H14" s="165" t="s"/>
      <c r="I14" s="166" t="s"/>
    </row>
    <row r="15" spans="1:1">
      <c r="A15" s="180" t="s"/>
    </row>
    <row r="18" spans="1:8">
      <c r="A18" s="147" t="s">
        <v>4</v>
      </c>
      <c r="B18" s="148" t="s">
        <v>22</v>
      </c>
      <c r="F18" s="149" t="s">
        <v>6</v>
      </c>
      <c r="G18" s="149" t="s">
        <v>7</v>
      </c>
      <c r="H18" s="150" t="s">
        <v>8</v>
      </c>
    </row>
    <row r="19" spans="1:8">
      <c r="A19" s="151">
        <f>=SUM(B22:B27)</f>
        <v>32109.23</v>
      </c>
      <c r="F19" s="152">
        <f>=F2/2</f>
        <v>171536.525</v>
      </c>
      <c r="G19" s="153">
        <f>=G2/2</f>
        <v>34307.305</v>
      </c>
      <c r="H19" s="154">
        <f>=H2/2</f>
        <v>45743.0733333333</v>
      </c>
    </row>
    <row r="20" spans="8:8">
      <c r="H20" s="12" t="s"/>
    </row>
    <row r="21" spans="1:8">
      <c r="A21" s="155" t="s">
        <v>9</v>
      </c>
      <c r="B21" s="156" t="s">
        <v>10</v>
      </c>
      <c r="C21" s="156" t="s">
        <v>11</v>
      </c>
      <c r="D21" s="156" t="s">
        <v>12</v>
      </c>
      <c r="E21" s="156" t="s">
        <v>13</v>
      </c>
      <c r="F21" s="156" t="s">
        <v>14</v>
      </c>
      <c r="G21" s="156" t="s">
        <v>15</v>
      </c>
      <c r="H21" s="157" t="s"/>
    </row>
    <row r="22" spans="1:8">
      <c r="A22" s="159" t="s">
        <v>16</v>
      </c>
      <c r="B22" s="160">
        <v>17381.73</v>
      </c>
      <c r="C22" s="161">
        <f>=SUM(B22:B26)*0.2</f>
        <v>6421.846</v>
      </c>
      <c r="D22" s="162">
        <f>=SUM(B22:B26)*0.8/3</f>
        <v>8562.46133333334</v>
      </c>
      <c r="E22" s="159" t="s">
        <v>16</v>
      </c>
      <c r="F22" s="163">
        <f>=D22-B22</f>
        <v>-8819.26866666667</v>
      </c>
      <c r="G22" s="164">
        <f>=D27</f>
        <v>0</v>
      </c>
      <c r="H22" s="165" t="s"/>
    </row>
    <row r="23" spans="1:8">
      <c r="A23" s="167" t="s">
        <v>17</v>
      </c>
      <c r="B23" s="168">
        <v>4257.78</v>
      </c>
      <c r="E23" s="167" t="s">
        <v>17</v>
      </c>
      <c r="F23" s="169">
        <f>=(D22-B23)</f>
        <v>4304.68133333333</v>
      </c>
      <c r="H23" s="165" t="s"/>
    </row>
    <row r="24" spans="1:8">
      <c r="A24" s="170" t="s">
        <v>18</v>
      </c>
      <c r="B24" s="171">
        <v>10469.72</v>
      </c>
      <c r="E24" s="172" t="s">
        <v>18</v>
      </c>
      <c r="F24" s="173">
        <f>=D22-B24</f>
        <v>-1907.25866666667</v>
      </c>
      <c r="H24" s="165" t="s"/>
    </row>
    <row r="25" spans="1:8">
      <c r="A25" s="174" t="s"/>
      <c r="B25" s="174" t="s"/>
      <c r="E25" s="174" t="s">
        <v>19</v>
      </c>
      <c r="F25" s="175">
        <f>=C22</f>
        <v>6421.846</v>
      </c>
      <c r="G25" s="176">
        <f>=C27</f>
        <v>0</v>
      </c>
      <c r="H25" s="165" t="s"/>
    </row>
    <row r="26" spans="1:8">
      <c r="A26" s="174" t="s">
        <v>20</v>
      </c>
      <c r="B26" s="174" t="s"/>
      <c r="E26" s="174" t="s"/>
      <c r="F26" s="176" t="s"/>
      <c r="G26" s="176" t="s"/>
      <c r="H26" s="165" t="s"/>
    </row>
    <row r="27" spans="1:8">
      <c r="A27" s="177" t="s">
        <v>21</v>
      </c>
      <c r="B27" s="178" t="s"/>
      <c r="C27" s="178">
        <f>=B27*0.2</f>
        <v>0</v>
      </c>
      <c r="D27" s="178">
        <f>=B27*0.8/3</f>
        <v>0</v>
      </c>
      <c r="E27" s="177" t="s"/>
      <c r="F27" s="177" t="s"/>
      <c r="G27" s="179" t="s"/>
      <c r="H27" s="165" t="s"/>
    </row>
    <row r="28" spans="1:1">
      <c r="A28" s="180" t="s"/>
    </row>
    <row r="31" spans="1:8">
      <c r="A31" s="181" t="s">
        <v>4</v>
      </c>
      <c r="B31" s="148" t="s">
        <v>23</v>
      </c>
      <c r="F31" s="149" t="s">
        <v>6</v>
      </c>
      <c r="G31" s="149" t="s">
        <v>7</v>
      </c>
      <c r="H31" s="150" t="s">
        <v>8</v>
      </c>
    </row>
    <row r="32" spans="1:8">
      <c r="A32" s="182">
        <f>=SUM(B35:B49)</f>
        <v>55608.65</v>
      </c>
      <c r="F32" s="152">
        <f>=F2/3</f>
        <v>114357.683333333</v>
      </c>
      <c r="G32" s="153">
        <f>=G2/3</f>
        <v>22871.5366666667</v>
      </c>
      <c r="H32" s="154">
        <f>=H2/3</f>
        <v>30495.3822222222</v>
      </c>
    </row>
    <row r="33" spans="8:8">
      <c r="H33" s="12" t="s"/>
    </row>
    <row r="34" spans="1:8">
      <c r="A34" s="183" t="s">
        <v>9</v>
      </c>
      <c r="B34" s="184" t="s">
        <v>10</v>
      </c>
      <c r="C34" s="185" t="s">
        <v>11</v>
      </c>
      <c r="D34" s="185" t="s">
        <v>12</v>
      </c>
      <c r="E34" s="184" t="s">
        <v>13</v>
      </c>
      <c r="F34" s="184" t="s">
        <v>14</v>
      </c>
      <c r="G34" s="185" t="s">
        <v>15</v>
      </c>
      <c r="H34" s="157" t="s"/>
    </row>
    <row r="35" spans="1:8">
      <c r="A35" s="186" t="s">
        <v>16</v>
      </c>
      <c r="B35" s="187">
        <v>10987.56</v>
      </c>
      <c r="C35" s="161">
        <f>=SUM(B35:B39)*0.2</f>
        <v>4371.682</v>
      </c>
      <c r="D35" s="162">
        <f>=SUM(B35:B39)*0.8/3</f>
        <v>5828.90933333333</v>
      </c>
      <c r="E35" s="186" t="s">
        <v>16</v>
      </c>
      <c r="F35" s="188">
        <f>=D35-B35</f>
        <v>-5158.65066666667</v>
      </c>
      <c r="G35" s="164">
        <f>=D40</f>
        <v>0</v>
      </c>
      <c r="H35" s="165" t="s"/>
    </row>
    <row r="36" spans="1:8">
      <c r="A36" s="189" t="s">
        <v>17</v>
      </c>
      <c r="B36" s="190">
        <v>3518.06</v>
      </c>
      <c r="E36" s="189" t="s">
        <v>17</v>
      </c>
      <c r="F36" s="191">
        <f>=(D35-B36)</f>
        <v>2310.84933333333</v>
      </c>
      <c r="H36" s="165" t="s"/>
    </row>
    <row r="37" spans="1:8">
      <c r="A37" s="192" t="s">
        <v>18</v>
      </c>
      <c r="B37" s="193">
        <v>7352.79</v>
      </c>
      <c r="E37" s="194" t="s">
        <v>18</v>
      </c>
      <c r="F37" s="195">
        <f>=D35-B37</f>
        <v>-1523.88066666667</v>
      </c>
      <c r="H37" s="165" t="s"/>
    </row>
    <row r="38" spans="1:8">
      <c r="A38" s="196" t="s"/>
      <c r="B38" s="196" t="s"/>
      <c r="E38" s="196" t="s">
        <v>19</v>
      </c>
      <c r="F38" s="197">
        <f>=C35</f>
        <v>4371.682</v>
      </c>
      <c r="G38" s="198">
        <f>=C40</f>
        <v>0</v>
      </c>
      <c r="H38" s="165" t="s"/>
    </row>
    <row r="39" spans="1:8">
      <c r="A39" s="196" t="s">
        <v>20</v>
      </c>
      <c r="B39" s="196" t="s"/>
      <c r="E39" s="174" t="s"/>
      <c r="F39" s="176" t="s"/>
      <c r="G39" s="176" t="s"/>
      <c r="H39" s="165" t="s"/>
    </row>
    <row r="40" spans="1:8">
      <c r="A40" s="199" t="s">
        <v>21</v>
      </c>
      <c r="B40" s="178" t="s"/>
      <c r="C40" s="178">
        <f>=B40*0.2</f>
        <v>0</v>
      </c>
      <c r="D40" s="178">
        <f>=B40*0.8/3</f>
        <v>0</v>
      </c>
      <c r="E40" s="177" t="s"/>
      <c r="F40" s="177" t="s"/>
      <c r="G40" s="179" t="s"/>
      <c r="H40" s="165" t="s"/>
    </row>
    <row r="41" spans="1:8">
      <c r="A41" s="200" t="s"/>
      <c r="B41" s="201" t="s"/>
      <c r="C41" s="201" t="s"/>
      <c r="D41" s="201" t="s"/>
      <c r="E41" s="201" t="s"/>
      <c r="F41" s="201" t="s"/>
      <c r="G41" s="201" t="s"/>
      <c r="H41" s="201" t="s"/>
    </row>
    <row r="42" spans="1:8">
      <c r="A42" s="201" t="s"/>
      <c r="B42" s="201" t="s"/>
      <c r="C42" s="201" t="s"/>
      <c r="D42" s="201" t="s"/>
      <c r="E42" s="201" t="s"/>
      <c r="F42" s="201" t="s"/>
      <c r="G42" s="201" t="s"/>
      <c r="H42" s="201" t="s"/>
    </row>
    <row r="43" spans="1:8">
      <c r="A43" s="202" t="s">
        <v>9</v>
      </c>
      <c r="B43" s="184" t="s">
        <v>10</v>
      </c>
      <c r="C43" s="184" t="s">
        <v>11</v>
      </c>
      <c r="D43" s="184" t="s">
        <v>12</v>
      </c>
      <c r="E43" s="184" t="s">
        <v>13</v>
      </c>
      <c r="F43" s="184" t="s">
        <v>14</v>
      </c>
      <c r="G43" s="184" t="s">
        <v>15</v>
      </c>
      <c r="H43" s="157" t="s"/>
    </row>
    <row r="44" spans="1:8">
      <c r="A44" s="186" t="s">
        <v>16</v>
      </c>
      <c r="B44" s="187">
        <v>9036.51</v>
      </c>
      <c r="C44" s="203">
        <f>=SUM(B44:B48)*0.2</f>
        <v>6750.048</v>
      </c>
      <c r="D44" s="204">
        <f>=SUM(B44:B48)*0.8/3</f>
        <v>9000.064</v>
      </c>
      <c r="E44" s="186" t="s">
        <v>16</v>
      </c>
      <c r="F44" s="188">
        <f>=D44-B44</f>
        <v>-36.4459999999999</v>
      </c>
      <c r="G44" s="205">
        <f>=D49</f>
        <v>0</v>
      </c>
      <c r="H44" s="165" t="s"/>
    </row>
    <row r="45" spans="1:8">
      <c r="A45" s="189" t="s">
        <v>17</v>
      </c>
      <c r="B45" s="190">
        <v>13786.87</v>
      </c>
      <c r="E45" s="189" t="s">
        <v>17</v>
      </c>
      <c r="F45" s="191">
        <f>=(D44-B45)</f>
        <v>-4786.806</v>
      </c>
      <c r="H45" s="165" t="s"/>
    </row>
    <row r="46" spans="1:8">
      <c r="A46" s="192" t="s">
        <v>18</v>
      </c>
      <c r="B46" s="193">
        <v>9306.44</v>
      </c>
      <c r="E46" s="194" t="s">
        <v>18</v>
      </c>
      <c r="F46" s="195">
        <f>=D44-B46</f>
        <v>-306.376</v>
      </c>
      <c r="H46" s="165" t="s"/>
    </row>
    <row r="47" spans="1:8">
      <c r="A47" s="196" t="s"/>
      <c r="B47" s="196" t="s"/>
      <c r="E47" s="196" t="s">
        <v>19</v>
      </c>
      <c r="F47" s="197">
        <f>=C44</f>
        <v>6750.048</v>
      </c>
      <c r="G47" s="176">
        <f>=C49</f>
        <v>0</v>
      </c>
      <c r="H47" s="165" t="s"/>
    </row>
    <row r="48" spans="1:8">
      <c r="A48" s="196" t="s">
        <v>20</v>
      </c>
      <c r="B48" s="196">
        <v>1620.42</v>
      </c>
      <c r="E48" s="196" t="s"/>
      <c r="F48" s="198" t="s"/>
      <c r="G48" s="198" t="s"/>
      <c r="H48" s="165" t="s"/>
    </row>
    <row r="49" spans="1:8">
      <c r="A49" s="199" t="s">
        <v>21</v>
      </c>
      <c r="B49" s="206" t="s"/>
      <c r="C49" s="178">
        <f>=B49*0.2</f>
        <v>0</v>
      </c>
      <c r="D49" s="178">
        <f>=B49*0.8/3</f>
        <v>0</v>
      </c>
      <c r="E49" s="199" t="s"/>
      <c r="F49" s="199" t="s"/>
      <c r="G49" s="207" t="s"/>
      <c r="H49" s="165" t="s"/>
    </row>
    <row r="50" spans="1:1">
      <c r="A50" s="180" t="s"/>
    </row>
    <row r="53" spans="1:8">
      <c r="A53" s="147" t="s">
        <v>4</v>
      </c>
      <c r="B53" s="148" t="s">
        <v>25</v>
      </c>
      <c r="F53" s="149" t="s">
        <v>6</v>
      </c>
      <c r="G53" s="149" t="s">
        <v>7</v>
      </c>
      <c r="H53" s="150" t="s">
        <v>8</v>
      </c>
    </row>
    <row r="54" spans="1:8">
      <c r="A54" s="151">
        <f>=SUM(B57:B62)</f>
        <v>21246.72</v>
      </c>
      <c r="F54" s="152">
        <f>=F2/4</f>
        <v>85768.2625</v>
      </c>
      <c r="G54" s="153">
        <f>=G2/4</f>
        <v>17153.6525</v>
      </c>
      <c r="H54" s="154">
        <f>=H2/4</f>
        <v>22871.5366666667</v>
      </c>
    </row>
    <row r="55" spans="8:8">
      <c r="H55" s="12" t="s"/>
    </row>
    <row r="56" spans="1:8">
      <c r="A56" s="155" t="s">
        <v>9</v>
      </c>
      <c r="B56" s="156" t="s">
        <v>10</v>
      </c>
      <c r="C56" s="156" t="s">
        <v>11</v>
      </c>
      <c r="D56" s="156" t="s">
        <v>12</v>
      </c>
      <c r="E56" s="156" t="s">
        <v>13</v>
      </c>
      <c r="F56" s="156" t="s">
        <v>14</v>
      </c>
      <c r="G56" s="156" t="s">
        <v>15</v>
      </c>
      <c r="H56" s="157" t="s"/>
    </row>
    <row r="57" spans="1:8">
      <c r="A57" s="159" t="s">
        <v>16</v>
      </c>
      <c r="B57" s="160">
        <v>11034.18</v>
      </c>
      <c r="C57" s="161">
        <f>=SUM(B57:B61)*0.2</f>
        <v>4118.53</v>
      </c>
      <c r="D57" s="162">
        <f>=SUM(B57:B61)*0.8/3</f>
        <v>5491.37333333334</v>
      </c>
      <c r="E57" s="159" t="s">
        <v>16</v>
      </c>
      <c r="F57" s="163">
        <f>=D57-B57</f>
        <v>-5542.80666666667</v>
      </c>
      <c r="G57" s="164">
        <f>=D62</f>
        <v>174.418666666667</v>
      </c>
      <c r="H57" s="165" t="s"/>
    </row>
    <row r="58" spans="1:8">
      <c r="A58" s="167" t="s">
        <v>17</v>
      </c>
      <c r="B58" s="168">
        <v>3189.72</v>
      </c>
      <c r="E58" s="167" t="s">
        <v>17</v>
      </c>
      <c r="F58" s="169">
        <f>=(D57-B58)</f>
        <v>2301.65333333333</v>
      </c>
      <c r="H58" s="165" t="s"/>
    </row>
    <row r="59" spans="1:8">
      <c r="A59" s="170" t="s">
        <v>18</v>
      </c>
      <c r="B59" s="171">
        <v>6368.75</v>
      </c>
      <c r="E59" s="172" t="s">
        <v>18</v>
      </c>
      <c r="F59" s="173">
        <f>=D57-B59</f>
        <v>-877.376666666666</v>
      </c>
      <c r="H59" s="165" t="s"/>
    </row>
    <row r="60" spans="1:8">
      <c r="A60" s="174" t="s"/>
      <c r="B60" s="174" t="s"/>
      <c r="E60" s="174" t="s">
        <v>19</v>
      </c>
      <c r="F60" s="175">
        <f>=C57</f>
        <v>4118.53</v>
      </c>
      <c r="G60" s="176">
        <f>=C62</f>
        <v>130.814</v>
      </c>
      <c r="H60" s="165" t="s"/>
    </row>
    <row r="61" spans="1:8">
      <c r="A61" s="174" t="s">
        <v>20</v>
      </c>
      <c r="B61" s="174" t="s"/>
      <c r="E61" s="174" t="s"/>
      <c r="F61" s="176" t="s"/>
      <c r="G61" s="176" t="s"/>
      <c r="H61" s="165" t="s"/>
    </row>
    <row r="62" spans="1:8">
      <c r="A62" s="177" t="s">
        <v>21</v>
      </c>
      <c r="B62" s="178">
        <v>654.07</v>
      </c>
      <c r="C62" s="178">
        <f>=B62*0.2</f>
        <v>130.814</v>
      </c>
      <c r="D62" s="178">
        <f>=B62*0.8/3</f>
        <v>174.418666666667</v>
      </c>
      <c r="E62" s="177" t="s"/>
      <c r="F62" s="177" t="s"/>
      <c r="G62" s="179" t="s"/>
      <c r="H62" s="165" t="s"/>
    </row>
    <row r="63" spans="1:1">
      <c r="A63" s="180" t="s"/>
    </row>
    <row r="66" spans="1:8">
      <c r="A66" s="208" t="s">
        <v>4</v>
      </c>
      <c r="B66" s="209" t="s">
        <v>26</v>
      </c>
      <c r="F66" s="150" t="s">
        <v>6</v>
      </c>
      <c r="G66" s="149" t="s">
        <v>7</v>
      </c>
      <c r="H66" s="150" t="s">
        <v>8</v>
      </c>
    </row>
    <row r="67" spans="1:8">
      <c r="A67" s="182">
        <f>=SUM(B70:B75)</f>
        <v>19361.88</v>
      </c>
      <c r="F67" s="210">
        <f>=F2/5</f>
        <v>68614.61</v>
      </c>
      <c r="G67" s="211">
        <f>=G2/5</f>
        <v>13722.922</v>
      </c>
      <c r="H67" s="210">
        <f>=H2/5</f>
        <v>18297.2293333333</v>
      </c>
    </row>
    <row r="69" spans="1:8">
      <c r="A69" s="183" t="s">
        <v>9</v>
      </c>
      <c r="B69" s="184" t="s">
        <v>10</v>
      </c>
      <c r="C69" s="185" t="s">
        <v>11</v>
      </c>
      <c r="D69" s="185" t="s">
        <v>12</v>
      </c>
      <c r="E69" s="184" t="s">
        <v>13</v>
      </c>
      <c r="F69" s="184" t="s">
        <v>14</v>
      </c>
      <c r="G69" s="184" t="s">
        <v>15</v>
      </c>
      <c r="H69" s="157" t="s"/>
    </row>
    <row r="70" spans="1:8">
      <c r="A70" s="186" t="s">
        <v>16</v>
      </c>
      <c r="B70" s="187">
        <v>10223.99</v>
      </c>
      <c r="C70" s="203">
        <f>=SUM(B70:B74)*0.2</f>
        <v>3872.376</v>
      </c>
      <c r="D70" s="204">
        <f>=SUM(B70:B74)*0.8/3</f>
        <v>5163.168</v>
      </c>
      <c r="E70" s="186" t="s">
        <v>16</v>
      </c>
      <c r="F70" s="188">
        <f>=D70-B70</f>
        <v>-5060.822</v>
      </c>
      <c r="G70" s="205">
        <f>=D75</f>
        <v>0</v>
      </c>
      <c r="H70" s="165" t="s"/>
    </row>
    <row r="71" spans="1:8">
      <c r="A71" s="189" t="s">
        <v>17</v>
      </c>
      <c r="B71" s="190">
        <v>3060.9</v>
      </c>
      <c r="E71" s="212" t="s">
        <v>17</v>
      </c>
      <c r="F71" s="213">
        <f>=(D70-B71)</f>
        <v>2102.268</v>
      </c>
      <c r="H71" s="165" t="s"/>
    </row>
    <row r="72" spans="1:8">
      <c r="A72" s="192" t="s">
        <v>18</v>
      </c>
      <c r="B72" s="214">
        <v>6076.99</v>
      </c>
      <c r="E72" s="215" t="s">
        <v>18</v>
      </c>
      <c r="F72" s="216">
        <f>=D70-B72</f>
        <v>-913.822</v>
      </c>
      <c r="H72" s="165" t="s"/>
    </row>
    <row r="73" spans="1:8">
      <c r="A73" s="174" t="s"/>
      <c r="B73" s="174" t="s"/>
      <c r="E73" s="174" t="s">
        <v>19</v>
      </c>
      <c r="F73" s="175">
        <f>=C70</f>
        <v>3872.376</v>
      </c>
      <c r="G73" s="176">
        <f>=C75</f>
        <v>0</v>
      </c>
      <c r="H73" s="165" t="s"/>
    </row>
    <row r="74" spans="1:8">
      <c r="A74" s="196" t="s">
        <v>20</v>
      </c>
      <c r="B74" s="196" t="s"/>
      <c r="E74" s="196" t="s"/>
      <c r="F74" s="198" t="s"/>
      <c r="G74" s="198" t="s"/>
      <c r="H74" s="165" t="s"/>
    </row>
    <row r="75" spans="1:8">
      <c r="A75" s="199" t="s">
        <v>21</v>
      </c>
      <c r="B75" s="206" t="s"/>
      <c r="C75" s="206">
        <f>=B75*0.2</f>
        <v>0</v>
      </c>
      <c r="D75" s="206">
        <f>=B75*0.8/3</f>
        <v>0</v>
      </c>
      <c r="E75" s="199" t="s"/>
      <c r="F75" s="199" t="s"/>
      <c r="G75" s="207" t="s"/>
      <c r="H75" s="165" t="s"/>
    </row>
    <row r="76" spans="1:1">
      <c r="A76" s="217" t="s"/>
    </row>
    <row r="79" spans="1:8">
      <c r="A79" s="208" t="s">
        <v>4</v>
      </c>
      <c r="B79" s="209" t="s">
        <v>27</v>
      </c>
      <c r="F79" s="150" t="s">
        <v>6</v>
      </c>
      <c r="G79" s="150" t="s">
        <v>7</v>
      </c>
      <c r="H79" s="150" t="s">
        <v>8</v>
      </c>
    </row>
    <row r="80" spans="1:8">
      <c r="A80" s="182">
        <f>=SUM(B83:B88)</f>
        <v>24173.25</v>
      </c>
      <c r="F80" s="210">
        <f>=F2/6</f>
        <v>57178.8416666667</v>
      </c>
      <c r="G80" s="218">
        <f>=G2/6</f>
        <v>11435.7683333333</v>
      </c>
      <c r="H80" s="210">
        <f>=H2/6</f>
        <v>15247.6911111111</v>
      </c>
    </row>
    <row r="82" spans="1:8">
      <c r="A82" s="183" t="s">
        <v>9</v>
      </c>
      <c r="B82" s="185" t="s">
        <v>10</v>
      </c>
      <c r="C82" s="185" t="s">
        <v>11</v>
      </c>
      <c r="D82" s="185" t="s">
        <v>12</v>
      </c>
      <c r="E82" s="185" t="s">
        <v>13</v>
      </c>
      <c r="F82" s="185" t="s">
        <v>14</v>
      </c>
      <c r="G82" s="185" t="s">
        <v>15</v>
      </c>
      <c r="H82" s="157" t="s"/>
    </row>
    <row r="83" spans="1:8">
      <c r="A83" s="219" t="s">
        <v>16</v>
      </c>
      <c r="B83" s="220">
        <v>12011.3</v>
      </c>
      <c r="C83" s="161">
        <f>=SUM(B83:B87)*0.2</f>
        <v>4595.324</v>
      </c>
      <c r="D83" s="162">
        <f>=SUM(B83:B87)*0.8/3</f>
        <v>6127.09866666667</v>
      </c>
      <c r="E83" s="219" t="s">
        <v>16</v>
      </c>
      <c r="F83" s="221">
        <f>=D83-B83</f>
        <v>-5884.20133333333</v>
      </c>
      <c r="G83" s="164">
        <f>=D88</f>
        <v>319.101333333333</v>
      </c>
      <c r="H83" s="165" t="s"/>
    </row>
    <row r="84" spans="1:8">
      <c r="A84" s="189" t="s">
        <v>17</v>
      </c>
      <c r="B84" s="190">
        <v>2487.5</v>
      </c>
      <c r="E84" s="189" t="s">
        <v>17</v>
      </c>
      <c r="F84" s="191">
        <f>=(D83-B84)</f>
        <v>3639.59866666667</v>
      </c>
      <c r="H84" s="165" t="s"/>
    </row>
    <row r="85" spans="1:8">
      <c r="A85" s="192" t="s">
        <v>18</v>
      </c>
      <c r="B85" s="193">
        <v>8477.82</v>
      </c>
      <c r="E85" s="194" t="s">
        <v>18</v>
      </c>
      <c r="F85" s="195">
        <f>=D83-B85</f>
        <v>-2350.72133333333</v>
      </c>
      <c r="H85" s="165" t="s"/>
    </row>
    <row r="86" spans="1:8">
      <c r="A86" s="196" t="s"/>
      <c r="B86" s="196" t="s"/>
      <c r="E86" s="196" t="s">
        <v>19</v>
      </c>
      <c r="F86" s="197">
        <f>=C83</f>
        <v>4595.324</v>
      </c>
      <c r="G86" s="176">
        <f>=C88</f>
        <v>239.326</v>
      </c>
      <c r="H86" s="165" t="s"/>
    </row>
    <row r="87" spans="1:8">
      <c r="A87" s="196" t="s">
        <v>20</v>
      </c>
      <c r="B87" s="196" t="s"/>
      <c r="E87" s="196" t="s"/>
      <c r="F87" s="198" t="s"/>
      <c r="G87" s="176" t="s"/>
      <c r="H87" s="165" t="s"/>
    </row>
    <row r="88" spans="1:8">
      <c r="A88" s="199" t="s">
        <v>21</v>
      </c>
      <c r="B88" s="206">
        <v>1196.63</v>
      </c>
      <c r="C88" s="178">
        <f>=B88*0.2</f>
        <v>239.326</v>
      </c>
      <c r="D88" s="178">
        <f>=B88*0.8/3</f>
        <v>319.101333333333</v>
      </c>
      <c r="E88" s="199" t="s"/>
      <c r="F88" s="199" t="s"/>
      <c r="G88" s="207" t="s"/>
      <c r="H88" s="165" t="s"/>
    </row>
    <row r="89" spans="1:1">
      <c r="A89" s="217" t="s"/>
    </row>
    <row r="92" spans="1:8">
      <c r="A92" s="208" t="s">
        <v>4</v>
      </c>
      <c r="B92" s="209" t="s">
        <v>28</v>
      </c>
      <c r="F92" s="150" t="s">
        <v>6</v>
      </c>
      <c r="G92" s="150" t="s">
        <v>7</v>
      </c>
      <c r="H92" s="150" t="s">
        <v>8</v>
      </c>
    </row>
    <row r="93" spans="1:8">
      <c r="A93" s="182">
        <f>=SUM(B96:B101)</f>
        <v>39796.16</v>
      </c>
      <c r="F93" s="210">
        <f>=F2/7</f>
        <v>49010.4357142857</v>
      </c>
      <c r="G93" s="218">
        <f>=G2/7</f>
        <v>9802.08714285715</v>
      </c>
      <c r="H93" s="210">
        <f>=H2/7</f>
        <v>13069.4495238095</v>
      </c>
    </row>
    <row r="95" spans="1:8">
      <c r="A95" s="183" t="s">
        <v>9</v>
      </c>
      <c r="B95" s="185" t="s">
        <v>10</v>
      </c>
      <c r="C95" s="185" t="s">
        <v>11</v>
      </c>
      <c r="D95" s="185" t="s">
        <v>12</v>
      </c>
      <c r="E95" s="185" t="s">
        <v>13</v>
      </c>
      <c r="F95" s="185" t="s">
        <v>14</v>
      </c>
      <c r="G95" s="185" t="s">
        <v>15</v>
      </c>
      <c r="H95" s="157" t="s"/>
    </row>
    <row r="96" spans="1:8">
      <c r="A96" s="219" t="s">
        <v>16</v>
      </c>
      <c r="B96" s="220">
        <v>15799.97</v>
      </c>
      <c r="C96" s="161">
        <f>=SUM(B96:B100)*0.2</f>
        <v>7631.732</v>
      </c>
      <c r="D96" s="162">
        <f>=SUM(B96:B100)*0.8/3</f>
        <v>10175.6426666667</v>
      </c>
      <c r="E96" s="219" t="s">
        <v>16</v>
      </c>
      <c r="F96" s="221">
        <f>=D96-B96</f>
        <v>-5624.32733333333</v>
      </c>
      <c r="G96" s="164">
        <f>=D101</f>
        <v>436.666666666667</v>
      </c>
      <c r="H96" s="165" t="s"/>
    </row>
    <row r="97" spans="1:8">
      <c r="A97" s="189" t="s">
        <v>17</v>
      </c>
      <c r="B97" s="190">
        <v>3561.86</v>
      </c>
      <c r="E97" s="189" t="s">
        <v>17</v>
      </c>
      <c r="F97" s="191">
        <f>=(D96-B97)</f>
        <v>6613.78266666667</v>
      </c>
      <c r="H97" s="165" t="s"/>
    </row>
    <row r="98" spans="1:8">
      <c r="A98" s="192" t="s">
        <v>18</v>
      </c>
      <c r="B98" s="193">
        <v>18796.83</v>
      </c>
      <c r="E98" s="194" t="s">
        <v>18</v>
      </c>
      <c r="F98" s="195">
        <f>=D96-B98</f>
        <v>-8621.18733333334</v>
      </c>
      <c r="H98" s="165" t="s"/>
    </row>
    <row r="99" spans="1:8">
      <c r="A99" s="196" t="s"/>
      <c r="B99" s="196" t="s"/>
      <c r="E99" s="196" t="s">
        <v>19</v>
      </c>
      <c r="F99" s="197">
        <f>=C96</f>
        <v>7631.732</v>
      </c>
      <c r="G99" s="176">
        <f>=C101</f>
        <v>327.5</v>
      </c>
      <c r="H99" s="165" t="s"/>
    </row>
    <row r="100" spans="1:8">
      <c r="A100" s="196" t="s">
        <v>20</v>
      </c>
      <c r="B100" s="196" t="s"/>
      <c r="E100" s="196" t="s"/>
      <c r="F100" s="198" t="s"/>
      <c r="G100" s="176" t="s"/>
      <c r="H100" s="165" t="s"/>
    </row>
    <row r="101" spans="1:8">
      <c r="A101" s="199" t="s">
        <v>21</v>
      </c>
      <c r="B101" s="206">
        <v>1637.5</v>
      </c>
      <c r="C101" s="178">
        <f>=B101*0.2</f>
        <v>327.5</v>
      </c>
      <c r="D101" s="178">
        <f>=B101*0.8/3</f>
        <v>436.666666666667</v>
      </c>
      <c r="E101" s="199" t="s"/>
      <c r="F101" s="199" t="s"/>
      <c r="G101" s="207" t="s"/>
      <c r="H101" s="165" t="s"/>
    </row>
    <row r="102" spans="1:1">
      <c r="A102" s="217" t="s"/>
    </row>
    <row r="105" spans="1:8">
      <c r="A105" s="208" t="s">
        <v>4</v>
      </c>
      <c r="B105" s="209" t="s">
        <v>29</v>
      </c>
      <c r="F105" s="150" t="s">
        <v>6</v>
      </c>
      <c r="G105" s="150" t="s">
        <v>7</v>
      </c>
      <c r="H105" s="150" t="s">
        <v>8</v>
      </c>
    </row>
    <row r="106" spans="1:8">
      <c r="A106" s="182">
        <f>=SUM(B109:B114)</f>
        <v>18623.05</v>
      </c>
      <c r="F106" s="210">
        <f>=F2/8</f>
        <v>42884.13125</v>
      </c>
      <c r="G106" s="211">
        <f>=G2/8</f>
        <v>8576.82625</v>
      </c>
      <c r="H106" s="210">
        <f>=H2/8</f>
        <v>11435.7683333333</v>
      </c>
    </row>
    <row r="108" spans="1:8">
      <c r="A108" s="183" t="s">
        <v>9</v>
      </c>
      <c r="B108" s="184" t="s">
        <v>10</v>
      </c>
      <c r="C108" s="185" t="s">
        <v>11</v>
      </c>
      <c r="D108" s="185" t="s">
        <v>12</v>
      </c>
      <c r="E108" s="184" t="s">
        <v>13</v>
      </c>
      <c r="F108" s="184" t="s">
        <v>14</v>
      </c>
      <c r="G108" s="184" t="s">
        <v>15</v>
      </c>
      <c r="H108" s="157" t="s"/>
    </row>
    <row r="109" spans="1:8">
      <c r="A109" s="186" t="s">
        <v>16</v>
      </c>
      <c r="B109" s="187">
        <v>7342.93</v>
      </c>
      <c r="C109" s="161">
        <f>=SUM(B109:B113)*0.2</f>
        <v>3567.81</v>
      </c>
      <c r="D109" s="162">
        <f>=SUM(B109:B113)*0.8/3</f>
        <v>4757.08</v>
      </c>
      <c r="E109" s="186" t="s">
        <v>16</v>
      </c>
      <c r="F109" s="188">
        <f>=D109-B109</f>
        <v>-2585.85</v>
      </c>
      <c r="G109" s="205">
        <f>=D114</f>
        <v>209.066666666667</v>
      </c>
      <c r="H109" s="165" t="s"/>
    </row>
    <row r="110" spans="1:8">
      <c r="A110" s="189" t="s">
        <v>17</v>
      </c>
      <c r="B110" s="190">
        <v>2026.76</v>
      </c>
      <c r="E110" s="189" t="s">
        <v>17</v>
      </c>
      <c r="F110" s="191">
        <f>=(D109-B110)</f>
        <v>2730.32</v>
      </c>
      <c r="H110" s="165" t="s"/>
    </row>
    <row r="111" spans="1:8">
      <c r="A111" s="192" t="s">
        <v>18</v>
      </c>
      <c r="B111" s="193">
        <v>8469.36</v>
      </c>
      <c r="E111" s="194" t="s">
        <v>18</v>
      </c>
      <c r="F111" s="195">
        <f>=D109-B111</f>
        <v>-3712.28</v>
      </c>
      <c r="H111" s="165" t="s"/>
    </row>
    <row r="112" spans="1:8">
      <c r="A112" s="196" t="s"/>
      <c r="B112" s="196" t="s"/>
      <c r="E112" s="196" t="s">
        <v>19</v>
      </c>
      <c r="F112" s="197">
        <f>=C109</f>
        <v>3567.81</v>
      </c>
      <c r="G112" s="198">
        <f>=C114</f>
        <v>156.8</v>
      </c>
      <c r="H112" s="165" t="s"/>
    </row>
    <row r="113" spans="1:8">
      <c r="A113" s="196" t="s">
        <v>20</v>
      </c>
      <c r="B113" s="196" t="s"/>
      <c r="E113" s="196" t="s"/>
      <c r="F113" s="198" t="s"/>
      <c r="G113" s="198" t="s"/>
      <c r="H113" s="165" t="s"/>
    </row>
    <row r="114" spans="1:8">
      <c r="A114" s="199" t="s">
        <v>21</v>
      </c>
      <c r="B114" s="206">
        <v>784</v>
      </c>
      <c r="C114" s="206">
        <f>=B114*0.2</f>
        <v>156.8</v>
      </c>
      <c r="D114" s="206">
        <f>=B114*0.8/3</f>
        <v>209.066666666667</v>
      </c>
      <c r="E114" s="199" t="s"/>
      <c r="F114" s="199" t="s"/>
      <c r="G114" s="207" t="s"/>
      <c r="H114" s="165" t="s"/>
    </row>
    <row r="115" spans="1:1">
      <c r="A115" s="222" t="s"/>
    </row>
    <row r="118" spans="1:8">
      <c r="A118" s="208" t="s">
        <v>4</v>
      </c>
      <c r="B118" s="209" t="s">
        <v>30</v>
      </c>
      <c r="F118" s="150" t="s">
        <v>6</v>
      </c>
      <c r="G118" s="150" t="s">
        <v>7</v>
      </c>
      <c r="H118" s="150" t="s">
        <v>8</v>
      </c>
    </row>
    <row r="119" spans="1:8">
      <c r="A119" s="182">
        <f>=SUM(B122:B127)</f>
        <v>16020.17</v>
      </c>
      <c r="F119" s="210">
        <f>=F2/9</f>
        <v>38119.2277777778</v>
      </c>
      <c r="G119" s="218">
        <f>=G2/9</f>
        <v>7623.84555555556</v>
      </c>
      <c r="H119" s="210">
        <f>=H2/9</f>
        <v>10165.1274074074</v>
      </c>
    </row>
    <row r="121" spans="1:8">
      <c r="A121" s="183" t="s">
        <v>9</v>
      </c>
      <c r="B121" s="184" t="s">
        <v>10</v>
      </c>
      <c r="C121" s="184" t="s">
        <v>11</v>
      </c>
      <c r="D121" s="184" t="s">
        <v>12</v>
      </c>
      <c r="E121" s="184" t="s">
        <v>13</v>
      </c>
      <c r="F121" s="184" t="s">
        <v>14</v>
      </c>
      <c r="G121" s="184" t="s">
        <v>15</v>
      </c>
      <c r="H121" s="157" t="s"/>
    </row>
    <row r="122" spans="1:8">
      <c r="A122" s="186" t="s">
        <v>16</v>
      </c>
      <c r="B122" s="187">
        <v>6001.17</v>
      </c>
      <c r="C122" s="203">
        <f>=SUM(B122:B126)*0.2</f>
        <v>3029.434</v>
      </c>
      <c r="D122" s="204">
        <f>=SUM(B122:B126)*0.8/3</f>
        <v>4039.24533333333</v>
      </c>
      <c r="E122" s="186" t="s">
        <v>16</v>
      </c>
      <c r="F122" s="188">
        <f>=D122-B122</f>
        <v>-1961.92466666667</v>
      </c>
      <c r="G122" s="205">
        <f>=D127</f>
        <v>232.8</v>
      </c>
      <c r="H122" s="165" t="s"/>
    </row>
    <row r="123" spans="1:8">
      <c r="A123" s="189" t="s">
        <v>17</v>
      </c>
      <c r="B123" s="190">
        <v>1677</v>
      </c>
      <c r="E123" s="189" t="s">
        <v>17</v>
      </c>
      <c r="F123" s="191">
        <f>=(D122-B123)</f>
        <v>2362.24533333333</v>
      </c>
      <c r="H123" s="165" t="s"/>
    </row>
    <row r="124" spans="1:8">
      <c r="A124" s="192" t="s">
        <v>18</v>
      </c>
      <c r="B124" s="193">
        <v>7469</v>
      </c>
      <c r="E124" s="194" t="s">
        <v>18</v>
      </c>
      <c r="F124" s="195">
        <f>=D122-B124</f>
        <v>-3429.75466666667</v>
      </c>
      <c r="H124" s="165" t="s"/>
    </row>
    <row r="125" spans="1:8">
      <c r="A125" s="196" t="s"/>
      <c r="B125" s="196" t="s"/>
      <c r="E125" s="196" t="s">
        <v>19</v>
      </c>
      <c r="F125" s="197">
        <f>=C122</f>
        <v>3029.434</v>
      </c>
      <c r="G125" s="198">
        <f>=C127</f>
        <v>174.6</v>
      </c>
      <c r="H125" s="165" t="s"/>
    </row>
    <row r="126" spans="1:8">
      <c r="A126" s="196" t="s">
        <v>20</v>
      </c>
      <c r="B126" s="196" t="s"/>
      <c r="E126" s="196" t="s"/>
      <c r="F126" s="198" t="s"/>
      <c r="G126" s="198" t="s"/>
      <c r="H126" s="165" t="s"/>
    </row>
    <row r="127" spans="1:8">
      <c r="A127" s="199" t="s">
        <v>21</v>
      </c>
      <c r="B127" s="206">
        <v>873</v>
      </c>
      <c r="C127" s="206">
        <f>=B127*0.2</f>
        <v>174.6</v>
      </c>
      <c r="D127" s="206">
        <f>=B127*0.8/3</f>
        <v>232.8</v>
      </c>
      <c r="E127" s="199" t="s"/>
      <c r="F127" s="199" t="s"/>
      <c r="G127" s="207" t="s"/>
      <c r="H127" s="165" t="s"/>
    </row>
    <row r="128" spans="1:1">
      <c r="A128" s="222" t="s"/>
    </row>
    <row r="131" spans="1:8">
      <c r="A131" s="208" t="s">
        <v>4</v>
      </c>
      <c r="B131" s="209" t="s">
        <v>31</v>
      </c>
      <c r="F131" s="150" t="s">
        <v>6</v>
      </c>
      <c r="G131" s="150" t="s">
        <v>7</v>
      </c>
      <c r="H131" s="150" t="s">
        <v>8</v>
      </c>
    </row>
    <row r="132" spans="1:8">
      <c r="A132" s="182">
        <f>=SUM(B135:B140)</f>
        <v>18496.87</v>
      </c>
      <c r="F132" s="210">
        <f>=F54/10</f>
        <v>8576.82625</v>
      </c>
      <c r="G132" s="218">
        <f>=G2/10</f>
        <v>6861.461</v>
      </c>
      <c r="H132" s="210">
        <f>=H2/10</f>
        <v>9148.61466666667</v>
      </c>
    </row>
    <row r="134" spans="1:8">
      <c r="A134" s="183" t="s">
        <v>9</v>
      </c>
      <c r="B134" s="184" t="s">
        <v>10</v>
      </c>
      <c r="C134" s="184" t="s">
        <v>11</v>
      </c>
      <c r="D134" s="184" t="s">
        <v>12</v>
      </c>
      <c r="E134" s="184" t="s">
        <v>13</v>
      </c>
      <c r="F134" s="184" t="s">
        <v>14</v>
      </c>
      <c r="G134" s="184" t="s">
        <v>15</v>
      </c>
      <c r="H134" s="157" t="s"/>
    </row>
    <row r="135" spans="1:8">
      <c r="A135" s="186" t="s">
        <v>16</v>
      </c>
      <c r="B135" s="187">
        <v>7155.49</v>
      </c>
      <c r="C135" s="203">
        <f>=SUM(B135:B139)*0.2</f>
        <v>3530.042</v>
      </c>
      <c r="D135" s="204">
        <f>=SUM(B135:B139)*0.8/3</f>
        <v>4706.72266666667</v>
      </c>
      <c r="E135" s="186" t="s">
        <v>16</v>
      </c>
      <c r="F135" s="188">
        <f>=D135-B135</f>
        <v>-2448.76733333333</v>
      </c>
      <c r="G135" s="205">
        <f>=D140</f>
        <v>225.776</v>
      </c>
      <c r="H135" s="165" t="s"/>
    </row>
    <row r="136" spans="1:8">
      <c r="A136" s="189" t="s">
        <v>17</v>
      </c>
      <c r="B136" s="190">
        <v>2177.91</v>
      </c>
      <c r="E136" s="189" t="s">
        <v>17</v>
      </c>
      <c r="F136" s="191">
        <f>=(D135-B136)</f>
        <v>2528.81266666667</v>
      </c>
      <c r="H136" s="165" t="s"/>
    </row>
    <row r="137" spans="1:8">
      <c r="A137" s="192" t="s">
        <v>18</v>
      </c>
      <c r="B137" s="193">
        <v>8316.81</v>
      </c>
      <c r="E137" s="194" t="s">
        <v>18</v>
      </c>
      <c r="F137" s="195">
        <f>=D135-B137</f>
        <v>-3610.08733333333</v>
      </c>
      <c r="H137" s="165" t="s"/>
    </row>
    <row r="138" spans="1:8">
      <c r="A138" s="196" t="s"/>
      <c r="B138" s="196" t="s"/>
      <c r="E138" s="196" t="s">
        <v>19</v>
      </c>
      <c r="F138" s="197">
        <f>=C135</f>
        <v>3530.042</v>
      </c>
      <c r="G138" s="198">
        <f>=C140</f>
        <v>169.332</v>
      </c>
      <c r="H138" s="165" t="s"/>
    </row>
    <row r="139" spans="1:8">
      <c r="A139" s="196" t="s">
        <v>20</v>
      </c>
      <c r="B139" s="196" t="s"/>
      <c r="E139" s="196" t="s"/>
      <c r="F139" s="198" t="s"/>
      <c r="G139" s="198" t="s"/>
      <c r="H139" s="165" t="s"/>
    </row>
    <row r="140" spans="1:8">
      <c r="A140" s="199" t="s">
        <v>21</v>
      </c>
      <c r="B140" s="206">
        <v>846.66</v>
      </c>
      <c r="C140" s="206">
        <f>=B140*0.2</f>
        <v>169.332</v>
      </c>
      <c r="D140" s="206">
        <f>=B140*0.8/3</f>
        <v>225.776</v>
      </c>
      <c r="E140" s="199" t="s"/>
      <c r="F140" s="199" t="s"/>
      <c r="G140" s="207" t="s"/>
      <c r="H140" s="165" t="s"/>
    </row>
    <row r="141" spans="1:1">
      <c r="A141" s="222" t="s"/>
    </row>
    <row r="144" spans="1:8">
      <c r="A144" s="208" t="s">
        <v>4</v>
      </c>
      <c r="B144" s="209" t="s">
        <v>32</v>
      </c>
      <c r="F144" s="150" t="s">
        <v>6</v>
      </c>
      <c r="G144" s="150" t="s">
        <v>7</v>
      </c>
      <c r="H144" s="150" t="s">
        <v>8</v>
      </c>
    </row>
    <row r="145" spans="1:8">
      <c r="A145" s="182">
        <f>=SUM(B148:B153)</f>
        <v>28736.1</v>
      </c>
      <c r="F145" s="210">
        <f>=F2/11</f>
        <v>31188.4590909091</v>
      </c>
      <c r="G145" s="218">
        <f>=G2/11</f>
        <v>6237.69181818182</v>
      </c>
      <c r="H145" s="210">
        <f>=H2/11</f>
        <v>8316.92242424243</v>
      </c>
    </row>
    <row r="147" spans="1:8">
      <c r="A147" s="183" t="s">
        <v>9</v>
      </c>
      <c r="B147" s="184" t="s">
        <v>10</v>
      </c>
      <c r="C147" s="184" t="s">
        <v>11</v>
      </c>
      <c r="D147" s="184" t="s">
        <v>12</v>
      </c>
      <c r="E147" s="184" t="s">
        <v>13</v>
      </c>
      <c r="F147" s="184" t="s">
        <v>14</v>
      </c>
      <c r="G147" s="184" t="s">
        <v>15</v>
      </c>
      <c r="H147" s="157" t="s"/>
    </row>
    <row r="148" spans="1:8">
      <c r="A148" s="186" t="s">
        <v>16</v>
      </c>
      <c r="B148" s="187">
        <v>1492.3</v>
      </c>
      <c r="C148" s="203">
        <f>=SUM(B148:B152)*0.2</f>
        <v>5469.738</v>
      </c>
      <c r="D148" s="204">
        <f>=SUM(B148:B152)*0.8/3</f>
        <v>7292.984</v>
      </c>
      <c r="E148" s="186" t="s">
        <v>16</v>
      </c>
      <c r="F148" s="188">
        <f>=D148-B148</f>
        <v>5800.684</v>
      </c>
      <c r="G148" s="205">
        <f>=D153</f>
        <v>369.976</v>
      </c>
      <c r="H148" s="165" t="s"/>
    </row>
    <row r="149" spans="1:8">
      <c r="A149" s="189" t="s">
        <v>17</v>
      </c>
      <c r="B149" s="190">
        <v>12620.16</v>
      </c>
      <c r="E149" s="189" t="s">
        <v>17</v>
      </c>
      <c r="F149" s="191">
        <f>=(D148-B149)</f>
        <v>-5327.176</v>
      </c>
      <c r="H149" s="165" t="s"/>
    </row>
    <row r="150" spans="1:8">
      <c r="A150" s="192" t="s">
        <v>18</v>
      </c>
      <c r="B150" s="193">
        <v>13236.23</v>
      </c>
      <c r="E150" s="194" t="s">
        <v>18</v>
      </c>
      <c r="F150" s="195">
        <f>=D148-B150</f>
        <v>-5943.246</v>
      </c>
      <c r="H150" s="165" t="s"/>
    </row>
    <row r="151" spans="1:8">
      <c r="A151" s="196" t="s"/>
      <c r="B151" s="196" t="s"/>
      <c r="E151" s="196" t="s">
        <v>19</v>
      </c>
      <c r="F151" s="197">
        <f>=C148</f>
        <v>5469.738</v>
      </c>
      <c r="G151" s="198">
        <f>=C153</f>
        <v>277.482</v>
      </c>
      <c r="H151" s="165" t="s"/>
    </row>
    <row r="152" spans="1:8">
      <c r="A152" s="196" t="s">
        <v>20</v>
      </c>
      <c r="B152" s="196" t="s"/>
      <c r="E152" s="196" t="s"/>
      <c r="F152" s="198" t="s"/>
      <c r="G152" s="198" t="s"/>
      <c r="H152" s="165" t="s"/>
    </row>
    <row r="153" spans="1:8">
      <c r="A153" s="199" t="s">
        <v>21</v>
      </c>
      <c r="B153" s="206">
        <v>1387.41</v>
      </c>
      <c r="C153" s="206">
        <f>=B153*0.2</f>
        <v>277.482</v>
      </c>
      <c r="D153" s="206">
        <f>=B153*0.8/3</f>
        <v>369.976</v>
      </c>
      <c r="E153" s="199" t="s"/>
      <c r="F153" s="199" t="s"/>
      <c r="G153" s="207" t="s"/>
      <c r="H153" s="165" t="s"/>
    </row>
    <row r="154" spans="1:1">
      <c r="A154" s="222" t="s"/>
    </row>
    <row r="157" spans="1:8">
      <c r="A157" s="208" t="s">
        <v>4</v>
      </c>
      <c r="B157" s="209" t="s">
        <v>33</v>
      </c>
      <c r="F157" s="150" t="s">
        <v>6</v>
      </c>
      <c r="G157" s="150" t="s">
        <v>7</v>
      </c>
      <c r="H157" s="150" t="s">
        <v>8</v>
      </c>
    </row>
    <row r="158" spans="1:8">
      <c r="A158" s="182">
        <f>=SUM(B161:B166)</f>
        <v>36667.58</v>
      </c>
      <c r="F158" s="210">
        <f>=F2/12</f>
        <v>28589.4208333333</v>
      </c>
      <c r="G158" s="218">
        <f>=G2/12</f>
        <v>5717.88416666667</v>
      </c>
      <c r="H158" s="210">
        <f>=H2/12</f>
        <v>7623.84555555556</v>
      </c>
    </row>
    <row r="160" spans="1:8">
      <c r="A160" s="183" t="s">
        <v>9</v>
      </c>
      <c r="B160" s="184" t="s">
        <v>10</v>
      </c>
      <c r="C160" s="184" t="s">
        <v>11</v>
      </c>
      <c r="D160" s="184" t="s">
        <v>12</v>
      </c>
      <c r="E160" s="184" t="s">
        <v>13</v>
      </c>
      <c r="F160" s="184" t="s">
        <v>14</v>
      </c>
      <c r="G160" s="184" t="s">
        <v>15</v>
      </c>
      <c r="H160" s="157" t="s"/>
    </row>
    <row r="161" spans="1:8">
      <c r="A161" s="186" t="s">
        <v>16</v>
      </c>
      <c r="B161" s="187">
        <v>3996.96</v>
      </c>
      <c r="C161" s="203">
        <f>=SUM(B161:B165)*0.2</f>
        <v>7030.782</v>
      </c>
      <c r="D161" s="204">
        <f>=SUM(B161:B165)*0.8/3</f>
        <v>9374.376</v>
      </c>
      <c r="E161" s="186" t="s">
        <v>16</v>
      </c>
      <c r="F161" s="188">
        <f>=D161-B161</f>
        <v>5377.416</v>
      </c>
      <c r="G161" s="205">
        <f>=D166</f>
        <v>403.645333333333</v>
      </c>
      <c r="H161" s="165" t="s"/>
    </row>
    <row r="162" spans="1:8">
      <c r="A162" s="189" t="s">
        <v>17</v>
      </c>
      <c r="B162" s="190">
        <v>14696.73</v>
      </c>
      <c r="E162" s="189" t="s">
        <v>17</v>
      </c>
      <c r="F162" s="191">
        <f>=(D161-B162)</f>
        <v>-5322.354</v>
      </c>
      <c r="H162" s="165" t="s"/>
    </row>
    <row r="163" spans="1:8">
      <c r="A163" s="192" t="s">
        <v>18</v>
      </c>
      <c r="B163" s="193">
        <v>16460.22</v>
      </c>
      <c r="E163" s="194" t="s">
        <v>18</v>
      </c>
      <c r="F163" s="195">
        <f>=D161-B163</f>
        <v>-7085.844</v>
      </c>
      <c r="H163" s="165" t="s"/>
    </row>
    <row r="164" spans="1:8">
      <c r="A164" s="196" t="s"/>
      <c r="B164" s="223" t="s"/>
      <c r="E164" s="196" t="s">
        <v>19</v>
      </c>
      <c r="F164" s="197">
        <f>=C161</f>
        <v>7030.782</v>
      </c>
      <c r="G164" s="198">
        <f>=C166</f>
        <v>302.734</v>
      </c>
      <c r="H164" s="165" t="s"/>
    </row>
    <row r="165" spans="1:8">
      <c r="A165" s="196" t="s">
        <v>20</v>
      </c>
      <c r="B165" s="196" t="s"/>
      <c r="E165" s="196" t="s"/>
      <c r="F165" s="198" t="s"/>
      <c r="G165" s="198" t="s"/>
      <c r="H165" s="165" t="s"/>
    </row>
    <row r="166" spans="1:8">
      <c r="A166" s="199" t="s">
        <v>21</v>
      </c>
      <c r="B166" s="206">
        <v>1513.67</v>
      </c>
      <c r="C166" s="206">
        <f>=B166*0.2</f>
        <v>302.734</v>
      </c>
      <c r="D166" s="206">
        <f>=B166*0.8/3</f>
        <v>403.645333333333</v>
      </c>
      <c r="E166" s="199" t="s"/>
      <c r="F166" s="199" t="s"/>
      <c r="G166" s="207" t="s"/>
      <c r="H166" s="165" t="s"/>
    </row>
    <row r="167" spans="1:1">
      <c r="A167" s="222" t="s"/>
    </row>
  </sheetData>
  <mergeCells count="114">
    <mergeCell ref="G2:G4"/>
    <mergeCell ref="F2:F4"/>
    <mergeCell ref="H2:H4"/>
    <mergeCell ref="G9:G11"/>
    <mergeCell ref="D9:D13"/>
    <mergeCell ref="C9:C13"/>
    <mergeCell ref="G6:G7"/>
    <mergeCell ref="A6:A7"/>
    <mergeCell ref="B5:E7"/>
    <mergeCell ref="F6:F7"/>
    <mergeCell ref="H6:H7"/>
    <mergeCell ref="A15:H17"/>
    <mergeCell ref="B18:E20"/>
    <mergeCell ref="A19:A20"/>
    <mergeCell ref="C22:C26"/>
    <mergeCell ref="D22:D26"/>
    <mergeCell ref="G22:G24"/>
    <mergeCell ref="B31:E33"/>
    <mergeCell ref="A32:A33"/>
    <mergeCell ref="C35:C39"/>
    <mergeCell ref="D35:D39"/>
    <mergeCell ref="G35:G37"/>
    <mergeCell ref="C44:C48"/>
    <mergeCell ref="D44:D48"/>
    <mergeCell ref="G44:G46"/>
    <mergeCell ref="A50:H52"/>
    <mergeCell ref="A28:H30"/>
    <mergeCell ref="B53:E55"/>
    <mergeCell ref="A54:A55"/>
    <mergeCell ref="C57:C61"/>
    <mergeCell ref="D57:D61"/>
    <mergeCell ref="G57:G59"/>
    <mergeCell ref="A63:H65"/>
    <mergeCell ref="B66:E68"/>
    <mergeCell ref="A67:A68"/>
    <mergeCell ref="F67:F68"/>
    <mergeCell ref="G67:G68"/>
    <mergeCell ref="H67:H68"/>
    <mergeCell ref="C70:C74"/>
    <mergeCell ref="D70:D74"/>
    <mergeCell ref="G70:G72"/>
    <mergeCell ref="A76:H78"/>
    <mergeCell ref="B79:E81"/>
    <mergeCell ref="A80:A81"/>
    <mergeCell ref="F80:F81"/>
    <mergeCell ref="G80:G81"/>
    <mergeCell ref="H80:H81"/>
    <mergeCell ref="C83:C87"/>
    <mergeCell ref="D83:D87"/>
    <mergeCell ref="G83:G85"/>
    <mergeCell ref="A89:H91"/>
    <mergeCell ref="B92:E94"/>
    <mergeCell ref="A93:A94"/>
    <mergeCell ref="F93:F94"/>
    <mergeCell ref="G93:G94"/>
    <mergeCell ref="H93:H94"/>
    <mergeCell ref="C96:C100"/>
    <mergeCell ref="D96:D100"/>
    <mergeCell ref="G96:G98"/>
    <mergeCell ref="A102:H104"/>
    <mergeCell ref="B105:E107"/>
    <mergeCell ref="A106:A107"/>
    <mergeCell ref="F106:F107"/>
    <mergeCell ref="G106:G107"/>
    <mergeCell ref="H106:H107"/>
    <mergeCell ref="C109:C113"/>
    <mergeCell ref="D109:D113"/>
    <mergeCell ref="G109:G111"/>
    <mergeCell ref="A115:H117"/>
    <mergeCell ref="B118:E120"/>
    <mergeCell ref="A119:A120"/>
    <mergeCell ref="F119:F120"/>
    <mergeCell ref="G119:G120"/>
    <mergeCell ref="H119:H120"/>
    <mergeCell ref="C122:C126"/>
    <mergeCell ref="D122:D126"/>
    <mergeCell ref="G122:G124"/>
    <mergeCell ref="A128:H130"/>
    <mergeCell ref="B131:E133"/>
    <mergeCell ref="A132:A133"/>
    <mergeCell ref="F132:F133"/>
    <mergeCell ref="G132:G133"/>
    <mergeCell ref="H132:H133"/>
    <mergeCell ref="C135:C139"/>
    <mergeCell ref="D135:D139"/>
    <mergeCell ref="G135:G137"/>
    <mergeCell ref="A141:H143"/>
    <mergeCell ref="B144:E146"/>
    <mergeCell ref="A145:A146"/>
    <mergeCell ref="F145:F146"/>
    <mergeCell ref="G145:G146"/>
    <mergeCell ref="H145:H146"/>
    <mergeCell ref="C148:C152"/>
    <mergeCell ref="D148:D152"/>
    <mergeCell ref="G148:G150"/>
    <mergeCell ref="A154:H156"/>
    <mergeCell ref="B157:E159"/>
    <mergeCell ref="A158:A159"/>
    <mergeCell ref="F158:F159"/>
    <mergeCell ref="G158:G159"/>
    <mergeCell ref="H158:H159"/>
    <mergeCell ref="C161:C165"/>
    <mergeCell ref="D161:D165"/>
    <mergeCell ref="G161:G163"/>
    <mergeCell ref="A167:H169"/>
    <mergeCell ref="F19:F20"/>
    <mergeCell ref="G19:G20"/>
    <mergeCell ref="H19:H20"/>
    <mergeCell ref="F32:F33"/>
    <mergeCell ref="G32:G33"/>
    <mergeCell ref="H32:H33"/>
    <mergeCell ref="F54:F55"/>
    <mergeCell ref="G54:G55"/>
    <mergeCell ref="H54:H55"/>
  </mergeCells>
</worksheet>
</file>

<file path=xl/worksheets/sheet4.xml><?xml version="1.0" encoding="utf-8"?>
<worksheet xmlns="http://schemas.openxmlformats.org/spreadsheetml/2006/main">
  <sheetPr codeName="Z2024年">
    <tabColor/>
  </sheetPr>
  <dimension ref="G127"/>
  <sheetViews>
    <sheetView showGridLines="1" rightToLeft="0" workbookViewId="0"/>
  </sheetViews>
  <cols>
    <col min="4" max="4" width="23.8711" customWidth="1"/>
    <col min="6" max="6" width="25.7617" style="3" customWidth="1"/>
    <col min="7" max="7" width="22.9336" customWidth="1"/>
    <col min="8" max="8" width="30.4844" customWidth="1"/>
    <col min="9" max="9" width="40.6016" style="334" customWidth="1"/>
  </cols>
  <sheetData>
    <row r="1" spans="1:9">
      <c r="A1" s="224" t="s"/>
      <c r="B1" s="224" t="s"/>
      <c r="C1" s="224" t="s"/>
      <c r="D1" s="224" t="s"/>
      <c r="E1" s="224" t="s"/>
      <c r="F1" s="224" t="s"/>
      <c r="G1" s="225" t="s">
        <v>1</v>
      </c>
      <c r="H1" s="225" t="s">
        <v>43</v>
      </c>
      <c r="I1" s="226" t="s">
        <v>44</v>
      </c>
    </row>
    <row r="2" spans="1:9">
      <c r="A2" s="227" t="s">
        <v>5</v>
      </c>
      <c r="B2" s="228" t="s"/>
      <c r="C2" s="228" t="s"/>
      <c r="D2" s="228" t="s"/>
      <c r="E2" s="228" t="s"/>
      <c r="F2" s="228" t="s"/>
      <c r="G2" s="229">
        <f>=SUM(B:B)</f>
        <v>344117.57</v>
      </c>
      <c r="H2" s="230">
        <f>=SUM(C:C)</f>
        <v>68823.514</v>
      </c>
      <c r="I2" s="231">
        <f>=SUM(D:D)</f>
        <v>91764.6853333333</v>
      </c>
    </row>
    <row r="3" spans="1:9">
      <c r="A3" s="228" t="s"/>
      <c r="B3" s="228" t="s"/>
      <c r="C3" s="228" t="s"/>
      <c r="D3" s="228" t="s"/>
      <c r="E3" s="228" t="s"/>
      <c r="F3" s="228" t="s"/>
      <c r="G3" s="228" t="s"/>
      <c r="H3" s="228" t="s"/>
      <c r="I3" s="228" t="s"/>
    </row>
    <row r="4" spans="1:9">
      <c r="A4" s="228" t="s"/>
      <c r="B4" s="228" t="s"/>
      <c r="C4" s="228" t="s"/>
      <c r="D4" s="228" t="s"/>
      <c r="E4" s="228" t="s"/>
      <c r="F4" s="228" t="s"/>
      <c r="G4" s="228" t="s"/>
      <c r="H4" s="228" t="s"/>
      <c r="I4" s="228" t="s"/>
    </row>
    <row r="5" spans="1:26" s="330">
      <c r="A5" s="232" t="s">
        <v>45</v>
      </c>
      <c r="B5" s="232" t="s">
        <v>10</v>
      </c>
      <c r="C5" s="232" t="s">
        <v>11</v>
      </c>
      <c r="D5" s="232" t="s">
        <v>12</v>
      </c>
      <c r="E5" s="232" t="s">
        <v>13</v>
      </c>
      <c r="F5" s="233" t="s">
        <v>14</v>
      </c>
      <c r="G5" s="232" t="s">
        <v>15</v>
      </c>
      <c r="H5" s="234" t="s"/>
      <c r="I5" s="235" t="s"/>
      <c r="J5" s="236" t="s"/>
      <c r="K5" s="236" t="s"/>
      <c r="L5" s="236" t="s"/>
      <c r="M5" s="236" t="s"/>
      <c r="N5" s="236" t="s"/>
      <c r="O5" s="236" t="s"/>
      <c r="P5" s="236" t="s"/>
      <c r="Q5" s="236" t="s"/>
      <c r="R5" s="236" t="s"/>
      <c r="S5" s="236" t="s"/>
      <c r="T5" s="236" t="s"/>
      <c r="U5" s="236" t="s"/>
      <c r="V5" s="236" t="s"/>
      <c r="W5" s="236" t="s"/>
      <c r="X5" s="236" t="s"/>
      <c r="Y5" s="236" t="s"/>
      <c r="Z5" s="236" t="s"/>
    </row>
    <row r="6" spans="1:26" s="331" ht="18.75" customHeight="1">
      <c r="A6" s="237" t="s">
        <v>16</v>
      </c>
      <c r="B6" s="238">
        <v>16807.19</v>
      </c>
      <c r="C6" s="239">
        <f>=SUM(B6:B10)*0.2</f>
        <v>6446.678</v>
      </c>
      <c r="D6" s="240">
        <f>=SUM(B6:B10)*0.8/3</f>
        <v>8595.57066666667</v>
      </c>
      <c r="E6" s="237" t="s">
        <v>16</v>
      </c>
      <c r="F6" s="241">
        <f>=D6-B6</f>
        <v>-8211.61933333333</v>
      </c>
      <c r="G6" s="242">
        <f>=D11</f>
        <v>278.538666666667</v>
      </c>
      <c r="H6" s="243" t="s"/>
      <c r="I6" s="244" t="s"/>
      <c r="J6" s="245" t="s"/>
      <c r="K6" s="245" t="s"/>
      <c r="L6" s="245" t="s"/>
      <c r="M6" s="245" t="s"/>
      <c r="N6" s="245" t="s"/>
      <c r="O6" s="245" t="s"/>
      <c r="P6" s="245" t="s"/>
      <c r="Q6" s="245" t="s"/>
      <c r="R6" s="245" t="s"/>
      <c r="S6" s="245" t="s"/>
      <c r="T6" s="245" t="s"/>
      <c r="U6" s="245" t="s"/>
      <c r="V6" s="245" t="s"/>
      <c r="W6" s="245" t="s"/>
      <c r="X6" s="245" t="s"/>
      <c r="Y6" s="245" t="s"/>
      <c r="Z6" s="245" t="s"/>
    </row>
    <row r="7" spans="1:26" s="332" ht="18.75" customHeight="1">
      <c r="A7" s="246" t="s">
        <v>17</v>
      </c>
      <c r="B7" s="238">
        <v>4339.16</v>
      </c>
      <c r="C7" s="228" t="s"/>
      <c r="D7" s="228" t="s"/>
      <c r="E7" s="246" t="s">
        <v>17</v>
      </c>
      <c r="F7" s="247">
        <f>=(D6-B7)</f>
        <v>4256.41066666667</v>
      </c>
      <c r="G7" s="228" t="s"/>
      <c r="H7" s="243" t="s"/>
      <c r="I7" s="244" t="s"/>
      <c r="J7" s="245" t="s"/>
      <c r="K7" s="245" t="s"/>
      <c r="L7" s="245" t="s"/>
      <c r="M7" s="245" t="s"/>
      <c r="N7" s="245" t="s"/>
      <c r="O7" s="245" t="s"/>
      <c r="P7" s="245" t="s"/>
      <c r="Q7" s="245" t="s"/>
      <c r="R7" s="245" t="s"/>
      <c r="S7" s="245" t="s"/>
      <c r="T7" s="245" t="s"/>
      <c r="U7" s="245" t="s"/>
      <c r="V7" s="245" t="s"/>
      <c r="W7" s="245" t="s"/>
      <c r="X7" s="245" t="s"/>
      <c r="Y7" s="245" t="s"/>
      <c r="Z7" s="245" t="s"/>
    </row>
    <row r="8" spans="1:26" s="331" ht="18.75" customHeight="1">
      <c r="A8" s="237" t="s">
        <v>18</v>
      </c>
      <c r="B8" s="238">
        <v>11087.04</v>
      </c>
      <c r="C8" s="228" t="s"/>
      <c r="D8" s="228" t="s"/>
      <c r="E8" s="237" t="s">
        <v>18</v>
      </c>
      <c r="F8" s="241">
        <f>=D6-B8</f>
        <v>-2491.46933333333</v>
      </c>
      <c r="G8" s="228" t="s"/>
      <c r="H8" s="243" t="s"/>
      <c r="I8" s="244" t="s"/>
      <c r="J8" s="245" t="s"/>
      <c r="K8" s="245" t="s"/>
      <c r="L8" s="245" t="s"/>
      <c r="M8" s="245" t="s"/>
      <c r="N8" s="245" t="s"/>
      <c r="O8" s="245" t="s"/>
      <c r="P8" s="245" t="s"/>
      <c r="Q8" s="245" t="s"/>
      <c r="R8" s="245" t="s"/>
      <c r="S8" s="245" t="s"/>
      <c r="T8" s="245" t="s"/>
      <c r="U8" s="245" t="s"/>
      <c r="V8" s="245" t="s"/>
      <c r="W8" s="245" t="s"/>
      <c r="X8" s="245" t="s"/>
      <c r="Y8" s="245" t="s"/>
      <c r="Z8" s="245" t="s"/>
    </row>
    <row r="9" spans="1:26" s="274" ht="21" customHeight="1">
      <c r="A9" s="248" t="s"/>
      <c r="B9" s="228" t="s"/>
      <c r="C9" s="228" t="s"/>
      <c r="D9" s="228" t="s"/>
      <c r="E9" s="249" t="s">
        <v>19</v>
      </c>
      <c r="F9" s="250">
        <f>=C6</f>
        <v>6446.678</v>
      </c>
      <c r="G9" s="251">
        <f>=C11</f>
        <v>208.904</v>
      </c>
      <c r="H9" s="243" t="s"/>
      <c r="I9" s="244" t="s"/>
      <c r="J9" s="245" t="s"/>
      <c r="K9" s="245" t="s"/>
      <c r="L9" s="245" t="s"/>
      <c r="M9" s="245" t="s"/>
      <c r="N9" s="245" t="s"/>
      <c r="O9" s="245" t="s"/>
      <c r="P9" s="245" t="s"/>
      <c r="Q9" s="245" t="s"/>
      <c r="R9" s="245" t="s"/>
      <c r="S9" s="245" t="s"/>
      <c r="T9" s="245" t="s"/>
      <c r="U9" s="245" t="s"/>
      <c r="V9" s="245" t="s"/>
      <c r="W9" s="245" t="s"/>
      <c r="X9" s="245" t="s"/>
      <c r="Y9" s="245" t="s"/>
      <c r="Z9" s="245" t="s"/>
    </row>
    <row r="10" spans="1:26" s="274">
      <c r="A10" s="249" t="s">
        <v>20</v>
      </c>
      <c r="B10" s="249" t="s"/>
      <c r="C10" s="228" t="s"/>
      <c r="D10" s="228" t="s"/>
      <c r="E10" s="249" t="s">
        <v>46</v>
      </c>
      <c r="F10" s="251">
        <f>=-B10</f>
        <v>0</v>
      </c>
      <c r="G10" s="251" t="s"/>
      <c r="H10" s="243" t="s"/>
      <c r="I10" s="244" t="s"/>
      <c r="J10" s="245" t="s"/>
      <c r="K10" s="245" t="s"/>
      <c r="L10" s="245" t="s"/>
      <c r="M10" s="245" t="s"/>
      <c r="N10" s="245" t="s"/>
      <c r="O10" s="245" t="s"/>
      <c r="P10" s="245" t="s"/>
      <c r="Q10" s="245" t="s"/>
      <c r="R10" s="245" t="s"/>
      <c r="S10" s="245" t="s"/>
      <c r="T10" s="245" t="s"/>
      <c r="U10" s="245" t="s"/>
      <c r="V10" s="245" t="s"/>
      <c r="W10" s="245" t="s"/>
      <c r="X10" s="245" t="s"/>
      <c r="Y10" s="245" t="s"/>
      <c r="Z10" s="245" t="s"/>
    </row>
    <row r="11" spans="1:26" s="333">
      <c r="A11" s="252" t="s">
        <v>21</v>
      </c>
      <c r="B11" s="253">
        <v>1044.52</v>
      </c>
      <c r="C11" s="253">
        <f>=B11*0.2</f>
        <v>208.904</v>
      </c>
      <c r="D11" s="253">
        <f>=B11*0.8/3</f>
        <v>278.538666666667</v>
      </c>
      <c r="E11" s="252" t="s"/>
      <c r="F11" s="252" t="s"/>
      <c r="G11" s="254" t="s"/>
      <c r="H11" s="243" t="s"/>
      <c r="I11" s="244" t="s"/>
      <c r="J11" s="245" t="s"/>
      <c r="K11" s="245" t="s"/>
      <c r="L11" s="245" t="s"/>
      <c r="M11" s="245" t="s"/>
      <c r="N11" s="245" t="s"/>
      <c r="O11" s="245" t="s"/>
      <c r="P11" s="245" t="s"/>
      <c r="Q11" s="245" t="s"/>
      <c r="R11" s="245" t="s"/>
      <c r="S11" s="245" t="s"/>
      <c r="T11" s="245" t="s"/>
      <c r="U11" s="245" t="s"/>
      <c r="V11" s="245" t="s"/>
      <c r="W11" s="245" t="s"/>
      <c r="X11" s="245" t="s"/>
      <c r="Y11" s="245" t="s"/>
      <c r="Z11" s="245" t="s"/>
    </row>
    <row r="12" spans="1:26" s="333">
      <c r="A12" s="255" t="s">
        <v>22</v>
      </c>
      <c r="B12" s="256" t="s"/>
      <c r="C12" s="256" t="s"/>
      <c r="D12" s="256" t="s"/>
      <c r="E12" s="256" t="s"/>
      <c r="F12" s="256" t="s"/>
      <c r="G12" s="256" t="s"/>
      <c r="H12" s="224" t="s"/>
      <c r="I12" s="32" t="s"/>
      <c r="J12" s="245" t="s"/>
      <c r="K12" s="245" t="s"/>
      <c r="L12" s="245" t="s"/>
      <c r="M12" s="245" t="s"/>
      <c r="N12" s="245" t="s"/>
      <c r="O12" s="245" t="s"/>
      <c r="P12" s="245" t="s"/>
      <c r="Q12" s="245" t="s"/>
      <c r="R12" s="245" t="s"/>
      <c r="S12" s="245" t="s"/>
      <c r="T12" s="245" t="s"/>
      <c r="U12" s="245" t="s"/>
      <c r="V12" s="245" t="s"/>
      <c r="W12" s="245" t="s"/>
      <c r="X12" s="245" t="s"/>
      <c r="Y12" s="245" t="s"/>
      <c r="Z12" s="245" t="s"/>
    </row>
    <row r="13" spans="1:26" s="333">
      <c r="A13" s="256" t="s"/>
      <c r="B13" s="256" t="s"/>
      <c r="C13" s="256" t="s"/>
      <c r="D13" s="256" t="s"/>
      <c r="E13" s="256" t="s"/>
      <c r="F13" s="256" t="s"/>
      <c r="G13" s="256" t="s"/>
      <c r="H13" s="224" t="s"/>
      <c r="I13" s="32" t="s"/>
      <c r="J13" s="245" t="s"/>
      <c r="K13" s="245" t="s"/>
      <c r="L13" s="245" t="s"/>
      <c r="M13" s="245" t="s"/>
      <c r="N13" s="245" t="s"/>
      <c r="O13" s="245" t="s"/>
      <c r="P13" s="245" t="s"/>
      <c r="Q13" s="245" t="s"/>
      <c r="R13" s="245" t="s"/>
      <c r="S13" s="245" t="s"/>
      <c r="T13" s="245" t="s"/>
      <c r="U13" s="245" t="s"/>
      <c r="V13" s="245" t="s"/>
      <c r="W13" s="245" t="s"/>
      <c r="X13" s="245" t="s"/>
      <c r="Y13" s="245" t="s"/>
      <c r="Z13" s="245" t="s"/>
    </row>
    <row r="14" spans="1:26" s="333">
      <c r="A14" s="256" t="s"/>
      <c r="B14" s="256" t="s"/>
      <c r="C14" s="256" t="s"/>
      <c r="D14" s="256" t="s"/>
      <c r="E14" s="256" t="s"/>
      <c r="F14" s="256" t="s"/>
      <c r="G14" s="256" t="s"/>
      <c r="H14" s="224" t="s"/>
      <c r="I14" s="32" t="s"/>
      <c r="J14" s="245" t="s"/>
      <c r="K14" s="245" t="s"/>
      <c r="L14" s="245" t="s"/>
      <c r="M14" s="245" t="s"/>
      <c r="N14" s="245" t="s"/>
      <c r="O14" s="245" t="s"/>
      <c r="P14" s="245" t="s"/>
      <c r="Q14" s="245" t="s"/>
      <c r="R14" s="245" t="s"/>
      <c r="S14" s="245" t="s"/>
      <c r="T14" s="245" t="s"/>
      <c r="U14" s="245" t="s"/>
      <c r="V14" s="245" t="s"/>
      <c r="W14" s="245" t="s"/>
      <c r="X14" s="245" t="s"/>
      <c r="Y14" s="245" t="s"/>
      <c r="Z14" s="245" t="s"/>
    </row>
    <row r="15" spans="1:26" s="333">
      <c r="A15" s="232" t="s">
        <v>45</v>
      </c>
      <c r="B15" s="232" t="s">
        <v>10</v>
      </c>
      <c r="C15" s="232" t="s">
        <v>11</v>
      </c>
      <c r="D15" s="232" t="s">
        <v>12</v>
      </c>
      <c r="E15" s="232" t="s">
        <v>13</v>
      </c>
      <c r="F15" s="233" t="s">
        <v>14</v>
      </c>
      <c r="G15" s="232" t="s">
        <v>15</v>
      </c>
      <c r="H15" s="224" t="s"/>
      <c r="I15" s="32" t="s"/>
      <c r="J15" s="245" t="s"/>
      <c r="K15" s="245" t="s"/>
      <c r="L15" s="245" t="s"/>
      <c r="M15" s="245" t="s"/>
      <c r="N15" s="245" t="s"/>
      <c r="O15" s="245" t="s"/>
      <c r="P15" s="245" t="s"/>
      <c r="Q15" s="245" t="s"/>
      <c r="R15" s="245" t="s"/>
      <c r="S15" s="245" t="s"/>
      <c r="T15" s="245" t="s"/>
      <c r="U15" s="245" t="s"/>
      <c r="V15" s="245" t="s"/>
      <c r="W15" s="245" t="s"/>
      <c r="X15" s="245" t="s"/>
      <c r="Y15" s="245" t="s"/>
      <c r="Z15" s="245" t="s"/>
    </row>
    <row r="16" spans="1:26" s="333">
      <c r="A16" s="237" t="s">
        <v>16</v>
      </c>
      <c r="B16" s="257">
        <v>17381.73</v>
      </c>
      <c r="C16" s="258">
        <f>=SUM(B16:B20)*0.2</f>
        <v>6421.846</v>
      </c>
      <c r="D16" s="259">
        <f>=SUM(B16:B20)*0.8/3</f>
        <v>8562.46133333334</v>
      </c>
      <c r="E16" s="237" t="s">
        <v>16</v>
      </c>
      <c r="F16" s="241">
        <f>=D16-B16</f>
        <v>-8819.26866666667</v>
      </c>
      <c r="G16" s="241">
        <f>=D21</f>
        <v>0</v>
      </c>
      <c r="H16" s="224" t="s"/>
      <c r="I16" s="32" t="s"/>
      <c r="J16" s="245" t="s"/>
      <c r="K16" s="245" t="s"/>
      <c r="L16" s="245" t="s"/>
      <c r="M16" s="245" t="s"/>
      <c r="N16" s="245" t="s"/>
      <c r="O16" s="245" t="s"/>
      <c r="P16" s="245" t="s"/>
      <c r="Q16" s="245" t="s"/>
      <c r="R16" s="245" t="s"/>
      <c r="S16" s="245" t="s"/>
      <c r="T16" s="245" t="s"/>
      <c r="U16" s="245" t="s"/>
      <c r="V16" s="245" t="s"/>
      <c r="W16" s="245" t="s"/>
      <c r="X16" s="245" t="s"/>
      <c r="Y16" s="245" t="s"/>
      <c r="Z16" s="245" t="s"/>
    </row>
    <row r="17" spans="1:26" s="333">
      <c r="A17" s="246" t="s">
        <v>17</v>
      </c>
      <c r="B17" s="238">
        <v>4257.78</v>
      </c>
      <c r="C17" s="256" t="s"/>
      <c r="D17" s="256" t="s"/>
      <c r="E17" s="246" t="s">
        <v>17</v>
      </c>
      <c r="F17" s="247">
        <f>=(D16-B17)</f>
        <v>4304.68133333333</v>
      </c>
      <c r="G17" s="256" t="s"/>
      <c r="H17" s="224" t="s"/>
      <c r="I17" s="32" t="s"/>
      <c r="J17" s="245" t="s"/>
      <c r="K17" s="245" t="s"/>
      <c r="L17" s="245" t="s"/>
      <c r="M17" s="245" t="s"/>
      <c r="N17" s="245" t="s"/>
      <c r="O17" s="245" t="s"/>
      <c r="P17" s="245" t="s"/>
      <c r="Q17" s="245" t="s"/>
      <c r="R17" s="245" t="s"/>
      <c r="S17" s="245" t="s"/>
      <c r="T17" s="245" t="s"/>
      <c r="U17" s="245" t="s"/>
      <c r="V17" s="245" t="s"/>
      <c r="W17" s="245" t="s"/>
      <c r="X17" s="245" t="s"/>
      <c r="Y17" s="245" t="s"/>
      <c r="Z17" s="245" t="s"/>
    </row>
    <row r="18" spans="1:26" s="333">
      <c r="A18" s="237" t="s">
        <v>18</v>
      </c>
      <c r="B18" s="238">
        <v>10469.72</v>
      </c>
      <c r="C18" s="256" t="s"/>
      <c r="D18" s="256" t="s"/>
      <c r="E18" s="237" t="s">
        <v>18</v>
      </c>
      <c r="F18" s="241">
        <f>=D16-B18</f>
        <v>-1907.25866666667</v>
      </c>
      <c r="G18" s="256" t="s"/>
      <c r="H18" s="224" t="s"/>
      <c r="I18" s="32" t="s"/>
      <c r="J18" s="245" t="s"/>
      <c r="K18" s="245" t="s"/>
      <c r="L18" s="245" t="s"/>
      <c r="M18" s="245" t="s"/>
      <c r="N18" s="245" t="s"/>
      <c r="O18" s="245" t="s"/>
      <c r="P18" s="245" t="s"/>
      <c r="Q18" s="245" t="s"/>
      <c r="R18" s="245" t="s"/>
      <c r="S18" s="245" t="s"/>
      <c r="T18" s="245" t="s"/>
      <c r="U18" s="245" t="s"/>
      <c r="V18" s="245" t="s"/>
      <c r="W18" s="245" t="s"/>
      <c r="X18" s="245" t="s"/>
      <c r="Y18" s="245" t="s"/>
      <c r="Z18" s="245" t="s"/>
    </row>
    <row r="19" spans="1:26" s="333">
      <c r="A19" s="249" t="s"/>
      <c r="B19" s="256" t="s"/>
      <c r="C19" s="256" t="s"/>
      <c r="D19" s="256" t="s"/>
      <c r="E19" s="249" t="s">
        <v>19</v>
      </c>
      <c r="F19" s="250">
        <f>=C16</f>
        <v>6421.846</v>
      </c>
      <c r="G19" s="251">
        <f>=C21</f>
        <v>0</v>
      </c>
      <c r="H19" s="224" t="s"/>
      <c r="I19" s="32" t="s"/>
      <c r="J19" s="245" t="s"/>
      <c r="K19" s="245" t="s"/>
      <c r="L19" s="245" t="s"/>
      <c r="M19" s="245" t="s"/>
      <c r="N19" s="245" t="s"/>
      <c r="O19" s="245" t="s"/>
      <c r="P19" s="245" t="s"/>
      <c r="Q19" s="245" t="s"/>
      <c r="R19" s="245" t="s"/>
      <c r="S19" s="245" t="s"/>
      <c r="T19" s="245" t="s"/>
      <c r="U19" s="245" t="s"/>
      <c r="V19" s="245" t="s"/>
      <c r="W19" s="245" t="s"/>
      <c r="X19" s="245" t="s"/>
      <c r="Y19" s="245" t="s"/>
      <c r="Z19" s="245" t="s"/>
    </row>
    <row r="20" spans="1:26" s="333">
      <c r="A20" s="249" t="s">
        <v>20</v>
      </c>
      <c r="B20" s="260" t="s"/>
      <c r="C20" s="256" t="s"/>
      <c r="D20" s="256" t="s"/>
      <c r="E20" s="249" t="s">
        <v>46</v>
      </c>
      <c r="F20" s="251">
        <f>=-B20</f>
        <v>0</v>
      </c>
      <c r="G20" s="251" t="s"/>
      <c r="H20" s="224" t="s"/>
      <c r="I20" s="32" t="s"/>
      <c r="J20" s="245" t="s"/>
      <c r="K20" s="245" t="s"/>
      <c r="L20" s="245" t="s"/>
      <c r="M20" s="245" t="s"/>
      <c r="N20" s="245" t="s"/>
      <c r="O20" s="245" t="s"/>
      <c r="P20" s="245" t="s"/>
      <c r="Q20" s="245" t="s"/>
      <c r="R20" s="245" t="s"/>
      <c r="S20" s="245" t="s"/>
      <c r="T20" s="245" t="s"/>
      <c r="U20" s="245" t="s"/>
      <c r="V20" s="245" t="s"/>
      <c r="W20" s="245" t="s"/>
      <c r="X20" s="245" t="s"/>
      <c r="Y20" s="245" t="s"/>
      <c r="Z20" s="245" t="s"/>
    </row>
    <row r="21" spans="1:7">
      <c r="A21" s="261" t="s">
        <v>21</v>
      </c>
      <c r="B21" s="262" t="s"/>
      <c r="C21" s="263">
        <f>=B21*0.2</f>
        <v>0</v>
      </c>
      <c r="D21" s="264">
        <f>=B21*0.8/3</f>
        <v>0</v>
      </c>
      <c r="E21" s="265" t="s"/>
      <c r="F21" s="265" t="s"/>
      <c r="G21" s="266" t="s"/>
    </row>
    <row r="22" spans="1:7">
      <c r="A22" s="255" t="s">
        <v>23</v>
      </c>
      <c r="B22" s="256" t="s"/>
      <c r="C22" s="256" t="s"/>
      <c r="D22" s="256" t="s"/>
      <c r="E22" s="256" t="s"/>
      <c r="F22" s="256" t="s"/>
      <c r="G22" s="256" t="s"/>
    </row>
    <row r="23" spans="1:7">
      <c r="A23" s="256" t="s"/>
      <c r="B23" s="256" t="s"/>
      <c r="C23" s="256" t="s"/>
      <c r="D23" s="256" t="s"/>
      <c r="E23" s="256" t="s"/>
      <c r="F23" s="256" t="s"/>
      <c r="G23" s="256" t="s"/>
    </row>
    <row r="24" spans="1:7">
      <c r="A24" s="256" t="s"/>
      <c r="B24" s="256" t="s"/>
      <c r="C24" s="256" t="s"/>
      <c r="D24" s="256" t="s"/>
      <c r="E24" s="256" t="s"/>
      <c r="F24" s="256" t="s"/>
      <c r="G24" s="256" t="s"/>
    </row>
    <row r="25" spans="1:7">
      <c r="A25" s="232" t="s">
        <v>45</v>
      </c>
      <c r="B25" s="232" t="s">
        <v>10</v>
      </c>
      <c r="C25" s="232" t="s">
        <v>11</v>
      </c>
      <c r="D25" s="232" t="s">
        <v>12</v>
      </c>
      <c r="E25" s="232" t="s">
        <v>13</v>
      </c>
      <c r="F25" s="233" t="s">
        <v>14</v>
      </c>
      <c r="G25" s="232" t="s">
        <v>15</v>
      </c>
    </row>
    <row r="26" spans="1:7">
      <c r="A26" s="237" t="s">
        <v>16</v>
      </c>
      <c r="B26" s="238">
        <v>10987.56</v>
      </c>
      <c r="C26" s="239">
        <f>=SUM(B26:B30)*0.2</f>
        <v>4371.682</v>
      </c>
      <c r="D26" s="240">
        <f>=SUM(B26:B30)*0.8/3</f>
        <v>5828.90933333333</v>
      </c>
      <c r="E26" s="237" t="s">
        <v>16</v>
      </c>
      <c r="F26" s="241">
        <f>=D26-B26</f>
        <v>-5158.65066666667</v>
      </c>
      <c r="G26" s="242">
        <f>=D31</f>
        <v>0</v>
      </c>
    </row>
    <row r="27" spans="1:7">
      <c r="A27" s="246" t="s">
        <v>17</v>
      </c>
      <c r="B27" s="238">
        <v>3518.06</v>
      </c>
      <c r="C27" s="228" t="s"/>
      <c r="D27" s="228" t="s"/>
      <c r="E27" s="246" t="s">
        <v>17</v>
      </c>
      <c r="F27" s="247">
        <f>=(D26-B27)</f>
        <v>2310.84933333333</v>
      </c>
      <c r="G27" s="228" t="s"/>
    </row>
    <row r="28" spans="1:7">
      <c r="A28" s="237" t="s">
        <v>18</v>
      </c>
      <c r="B28" s="238">
        <v>7352.79</v>
      </c>
      <c r="C28" s="228" t="s"/>
      <c r="D28" s="228" t="s"/>
      <c r="E28" s="237" t="s">
        <v>18</v>
      </c>
      <c r="F28" s="241">
        <f>=D26-B28</f>
        <v>-1523.88066666667</v>
      </c>
      <c r="G28" s="228" t="s"/>
    </row>
    <row r="29" spans="1:7">
      <c r="A29" s="249" t="s">
        <v>20</v>
      </c>
      <c r="B29" s="267" t="s"/>
      <c r="C29" s="228" t="s"/>
      <c r="D29" s="228" t="s"/>
      <c r="F29" s="268">
        <f>=-B20</f>
        <v>0</v>
      </c>
      <c r="G29" s="251" t="s"/>
    </row>
    <row r="30" spans="2:7">
      <c r="B30" s="249" t="s"/>
      <c r="C30" s="228" t="s"/>
      <c r="D30" s="228" t="s"/>
      <c r="E30" s="249" t="s">
        <v>19</v>
      </c>
      <c r="F30" s="250">
        <f>=C26</f>
        <v>4371.682</v>
      </c>
      <c r="G30" s="251">
        <f>=C31</f>
        <v>0</v>
      </c>
    </row>
    <row r="31" spans="1:7">
      <c r="A31" s="252" t="s">
        <v>21</v>
      </c>
      <c r="B31" s="253" t="s"/>
      <c r="C31" s="253">
        <f>=B31*0.2</f>
        <v>0</v>
      </c>
      <c r="D31" s="253">
        <f>=B31*0.8/3</f>
        <v>0</v>
      </c>
      <c r="E31" s="252" t="s"/>
      <c r="F31" s="252" t="s"/>
      <c r="G31" s="254" t="s"/>
    </row>
    <row r="32" spans="1:7">
      <c r="A32" s="243" t="s">
        <v>45</v>
      </c>
      <c r="B32" s="269" t="s">
        <v>47</v>
      </c>
      <c r="C32" s="269" t="s">
        <v>11</v>
      </c>
      <c r="D32" s="269" t="s">
        <v>12</v>
      </c>
      <c r="E32" s="243" t="s">
        <v>13</v>
      </c>
      <c r="F32" s="270" t="s">
        <v>14</v>
      </c>
      <c r="G32" s="254" t="s"/>
    </row>
    <row r="33" spans="1:7">
      <c r="A33" s="243" t="s">
        <v>16</v>
      </c>
      <c r="B33" s="269">
        <v>9036.51</v>
      </c>
      <c r="C33" s="269">
        <f>=SUM(B33:B37)*0.2</f>
        <v>6750.048</v>
      </c>
      <c r="D33" s="269">
        <f>=SUM(B33:B37)*0.8/3</f>
        <v>9000.064</v>
      </c>
      <c r="E33" s="237" t="s">
        <v>16</v>
      </c>
      <c r="F33" s="241">
        <f>=D33-B33</f>
        <v>-36.4459999999999</v>
      </c>
      <c r="G33" s="254" t="s"/>
    </row>
    <row r="34" spans="1:7">
      <c r="A34" s="243" t="s">
        <v>17</v>
      </c>
      <c r="B34" s="269">
        <v>13786.87</v>
      </c>
      <c r="C34" s="271" t="s"/>
      <c r="D34" s="271" t="s"/>
      <c r="E34" s="246" t="s">
        <v>17</v>
      </c>
      <c r="F34" s="247">
        <f>=(D33-B34)</f>
        <v>-4786.806</v>
      </c>
      <c r="G34" s="254" t="s"/>
    </row>
    <row r="35" spans="1:7">
      <c r="A35" s="243" t="s">
        <v>18</v>
      </c>
      <c r="B35" s="269">
        <v>9306.44</v>
      </c>
      <c r="C35" s="271" t="s"/>
      <c r="D35" s="271" t="s"/>
      <c r="E35" s="237" t="s">
        <v>18</v>
      </c>
      <c r="F35" s="241">
        <f>=D33-B35</f>
        <v>-306.376</v>
      </c>
      <c r="G35" s="254" t="s"/>
    </row>
    <row r="36" spans="1:7">
      <c r="A36" s="243" t="s">
        <v>46</v>
      </c>
      <c r="B36" s="269">
        <v>1620.42</v>
      </c>
      <c r="C36" s="271" t="s"/>
      <c r="D36" s="271" t="s"/>
      <c r="E36" s="272" t="s"/>
      <c r="F36" s="268">
        <f>=-B36</f>
        <v>-1620.42</v>
      </c>
      <c r="G36" s="254" t="s"/>
    </row>
    <row r="37" spans="1:7">
      <c r="A37" s="243">
        <v>33750.24</v>
      </c>
      <c r="B37" s="269" t="s"/>
      <c r="C37" s="269" t="s"/>
      <c r="D37" s="269" t="s"/>
      <c r="E37" s="249" t="s">
        <v>19</v>
      </c>
      <c r="F37" s="250">
        <f>=C33</f>
        <v>6750.048</v>
      </c>
      <c r="G37" s="254" t="s"/>
    </row>
    <row r="38" spans="1:7">
      <c r="A38" s="273" t="s">
        <v>25</v>
      </c>
      <c r="B38" s="228" t="s"/>
      <c r="C38" s="228" t="s"/>
      <c r="D38" s="228" t="s"/>
      <c r="E38" s="228" t="s"/>
      <c r="F38" s="228" t="s"/>
      <c r="G38" s="228" t="s"/>
    </row>
    <row r="39" spans="1:7">
      <c r="A39" s="228" t="s"/>
      <c r="B39" s="228" t="s"/>
      <c r="C39" s="228" t="s"/>
      <c r="D39" s="228" t="s"/>
      <c r="E39" s="228" t="s"/>
      <c r="F39" s="228" t="s"/>
      <c r="G39" s="228" t="s"/>
    </row>
    <row r="40" spans="1:7">
      <c r="A40" s="228" t="s"/>
      <c r="B40" s="228" t="s"/>
      <c r="C40" s="228" t="s"/>
      <c r="D40" s="228" t="s"/>
      <c r="E40" s="228" t="s"/>
      <c r="F40" s="228" t="s"/>
      <c r="G40" s="228" t="s"/>
    </row>
    <row r="41" spans="1:7">
      <c r="A41" s="232" t="s">
        <v>45</v>
      </c>
      <c r="B41" s="232" t="s">
        <v>10</v>
      </c>
      <c r="C41" s="232" t="s">
        <v>11</v>
      </c>
      <c r="D41" s="232" t="s">
        <v>12</v>
      </c>
      <c r="E41" s="232" t="s">
        <v>13</v>
      </c>
      <c r="F41" s="233" t="s">
        <v>14</v>
      </c>
      <c r="G41" s="232" t="s">
        <v>15</v>
      </c>
    </row>
    <row r="42" spans="1:7">
      <c r="A42" s="237" t="s">
        <v>16</v>
      </c>
      <c r="B42" s="238">
        <v>11034.18</v>
      </c>
      <c r="C42" s="239">
        <f>=SUM(B42:B46)*0.2</f>
        <v>4118.53</v>
      </c>
      <c r="D42" s="240">
        <f>=SUM(B42:B46)*0.8/3</f>
        <v>5491.37333333334</v>
      </c>
      <c r="E42" s="237" t="s">
        <v>16</v>
      </c>
      <c r="F42" s="241">
        <f>=D42-B42</f>
        <v>-5542.80666666667</v>
      </c>
      <c r="G42" s="242">
        <f>=D47</f>
        <v>174.418666666667</v>
      </c>
    </row>
    <row r="43" spans="1:6">
      <c r="A43" s="246" t="s">
        <v>17</v>
      </c>
      <c r="B43" s="238">
        <v>3189.72</v>
      </c>
      <c r="E43" s="246" t="s">
        <v>17</v>
      </c>
      <c r="F43" s="247">
        <f>=(D42-B43)</f>
        <v>2301.65333333333</v>
      </c>
    </row>
    <row r="44" spans="1:6">
      <c r="A44" s="237" t="s">
        <v>18</v>
      </c>
      <c r="B44" s="269">
        <v>6368.75</v>
      </c>
      <c r="E44" s="237" t="s">
        <v>18</v>
      </c>
      <c r="F44" s="241">
        <f>=D42-B44</f>
        <v>-877.376666666666</v>
      </c>
    </row>
    <row r="45" spans="1:7">
      <c r="A45" s="248" t="s">
        <v>20</v>
      </c>
      <c r="B45" s="274" t="s"/>
      <c r="F45" s="275">
        <f>=-B30</f>
        <v>0</v>
      </c>
      <c r="G45" s="251" t="s"/>
    </row>
    <row r="46" spans="2:7">
      <c r="B46" s="249" t="s"/>
      <c r="E46" s="249" t="s">
        <v>19</v>
      </c>
      <c r="F46" s="250">
        <f>=C42</f>
        <v>4118.53</v>
      </c>
      <c r="G46" s="251">
        <f>=C47</f>
        <v>130.814</v>
      </c>
    </row>
    <row r="47" spans="1:7">
      <c r="A47" s="252" t="s">
        <v>21</v>
      </c>
      <c r="B47" s="253">
        <v>654.07</v>
      </c>
      <c r="C47" s="253">
        <f>=B47*0.2</f>
        <v>130.814</v>
      </c>
      <c r="D47" s="253">
        <f>=B47*0.8/3</f>
        <v>174.418666666667</v>
      </c>
      <c r="E47" s="252" t="s"/>
      <c r="F47" s="252" t="s"/>
      <c r="G47" s="254" t="s"/>
    </row>
    <row r="48" spans="1:1">
      <c r="A48" s="276" t="s">
        <v>26</v>
      </c>
    </row>
    <row r="51" spans="1:7">
      <c r="A51" s="232" t="s">
        <v>45</v>
      </c>
      <c r="B51" s="232" t="s">
        <v>10</v>
      </c>
      <c r="C51" s="232" t="s">
        <v>11</v>
      </c>
      <c r="D51" s="232" t="s">
        <v>12</v>
      </c>
      <c r="E51" s="232" t="s">
        <v>13</v>
      </c>
      <c r="F51" s="233" t="s">
        <v>14</v>
      </c>
      <c r="G51" s="232" t="s">
        <v>15</v>
      </c>
    </row>
    <row r="52" spans="1:7">
      <c r="A52" s="237" t="s">
        <v>16</v>
      </c>
      <c r="B52" s="238">
        <v>10223.99</v>
      </c>
      <c r="C52" s="239">
        <f>=SUM(B52:B56)*0.2</f>
        <v>3872.376</v>
      </c>
      <c r="D52" s="240">
        <f>=SUM(B52:B56)*0.8/3</f>
        <v>5163.168</v>
      </c>
      <c r="E52" s="237" t="s">
        <v>16</v>
      </c>
      <c r="F52" s="241">
        <f>=D52-B52</f>
        <v>-5060.822</v>
      </c>
      <c r="G52" s="242">
        <f>=D57</f>
        <v>0</v>
      </c>
    </row>
    <row r="53" spans="1:6">
      <c r="A53" s="246" t="s">
        <v>17</v>
      </c>
      <c r="B53" s="238">
        <v>3060.9</v>
      </c>
      <c r="E53" s="246" t="s">
        <v>17</v>
      </c>
      <c r="F53" s="247">
        <f>=(D52-B53)</f>
        <v>2102.268</v>
      </c>
    </row>
    <row r="54" spans="1:6">
      <c r="A54" s="237" t="s">
        <v>18</v>
      </c>
      <c r="B54" s="257">
        <v>6076.99</v>
      </c>
      <c r="E54" s="237" t="s">
        <v>18</v>
      </c>
      <c r="F54" s="241">
        <f>=D52-B54</f>
        <v>-913.822</v>
      </c>
    </row>
    <row r="55" spans="1:7">
      <c r="A55" s="248" t="s">
        <v>20</v>
      </c>
      <c r="B55" s="274" t="s"/>
      <c r="F55" s="275">
        <f>=-B46</f>
        <v>0</v>
      </c>
      <c r="G55" s="251" t="s"/>
    </row>
    <row r="56" spans="1:7">
      <c r="A56" s="272" t="s"/>
      <c r="B56" s="249" t="s"/>
      <c r="E56" s="249" t="s">
        <v>19</v>
      </c>
      <c r="F56" s="250">
        <f>=C52</f>
        <v>3872.376</v>
      </c>
      <c r="G56" s="251">
        <f>=C57</f>
        <v>0</v>
      </c>
    </row>
    <row r="57" spans="1:7">
      <c r="A57" s="252" t="s">
        <v>21</v>
      </c>
      <c r="B57" s="253" t="s"/>
      <c r="C57" s="253">
        <f>=B57*0.2</f>
        <v>0</v>
      </c>
      <c r="D57" s="253">
        <f>=B57*0.8/3</f>
        <v>0</v>
      </c>
      <c r="E57" s="252" t="s"/>
      <c r="F57" s="252" t="s"/>
      <c r="G57" s="254" t="s"/>
    </row>
    <row r="58" spans="1:1">
      <c r="A58" s="276" t="s">
        <v>27</v>
      </c>
    </row>
    <row r="61" spans="1:7">
      <c r="A61" s="232" t="s">
        <v>45</v>
      </c>
      <c r="B61" s="232" t="s">
        <v>10</v>
      </c>
      <c r="C61" s="232" t="s">
        <v>11</v>
      </c>
      <c r="D61" s="232" t="s">
        <v>12</v>
      </c>
      <c r="E61" s="232" t="s">
        <v>13</v>
      </c>
      <c r="F61" s="233" t="s">
        <v>14</v>
      </c>
      <c r="G61" s="232" t="s">
        <v>15</v>
      </c>
    </row>
    <row r="62" spans="1:7">
      <c r="A62" s="237" t="s">
        <v>16</v>
      </c>
      <c r="B62" s="238">
        <v>12011.3</v>
      </c>
      <c r="C62" s="258">
        <f>=SUM(B62:B66)*0.2</f>
        <v>4595.324</v>
      </c>
      <c r="D62" s="259">
        <f>=SUM(B62:B66)*0.8/3</f>
        <v>6127.09866666667</v>
      </c>
      <c r="E62" s="237" t="s">
        <v>16</v>
      </c>
      <c r="F62" s="241">
        <f>=D62-B62</f>
        <v>-5884.20133333333</v>
      </c>
      <c r="G62" s="241">
        <f>=D67</f>
        <v>319.101333333333</v>
      </c>
    </row>
    <row r="63" spans="1:6">
      <c r="A63" s="246" t="s">
        <v>17</v>
      </c>
      <c r="B63" s="238">
        <v>2487.5</v>
      </c>
      <c r="E63" s="246" t="s">
        <v>17</v>
      </c>
      <c r="F63" s="247">
        <f>=(D62-B63)</f>
        <v>3639.59866666667</v>
      </c>
    </row>
    <row r="64" spans="1:6">
      <c r="A64" s="237" t="s">
        <v>18</v>
      </c>
      <c r="B64" s="238">
        <v>8477.82</v>
      </c>
      <c r="E64" s="237" t="s">
        <v>18</v>
      </c>
      <c r="F64" s="241">
        <f>=D62-B64</f>
        <v>-2350.72133333333</v>
      </c>
    </row>
    <row r="65" spans="1:7">
      <c r="A65" s="249" t="s">
        <v>20</v>
      </c>
      <c r="B65" s="274" t="s"/>
      <c r="F65" s="275">
        <f>=-B56</f>
        <v>0</v>
      </c>
      <c r="G65" s="251" t="s"/>
    </row>
    <row r="66" spans="2:7">
      <c r="B66" s="249" t="s"/>
      <c r="E66" s="249" t="s">
        <v>19</v>
      </c>
      <c r="F66" s="250">
        <f>=C62</f>
        <v>4595.324</v>
      </c>
      <c r="G66" s="251">
        <f>=C67</f>
        <v>239.326</v>
      </c>
    </row>
    <row r="67" spans="1:7">
      <c r="A67" s="252" t="s">
        <v>21</v>
      </c>
      <c r="B67" s="253">
        <v>1196.63</v>
      </c>
      <c r="C67" s="253">
        <f>=B67*0.2</f>
        <v>239.326</v>
      </c>
      <c r="D67" s="253">
        <f>=B67*0.8/3</f>
        <v>319.101333333333</v>
      </c>
      <c r="E67" s="252" t="s"/>
      <c r="F67" s="252" t="s"/>
      <c r="G67" s="254" t="s"/>
    </row>
    <row r="68" spans="1:7">
      <c r="A68" s="277" t="s">
        <v>48</v>
      </c>
      <c r="B68" s="228" t="s"/>
      <c r="C68" s="228" t="s"/>
      <c r="D68" s="228" t="s"/>
      <c r="E68" s="228" t="s"/>
      <c r="F68" s="228" t="s"/>
      <c r="G68" s="228" t="s"/>
    </row>
    <row r="69" spans="1:7">
      <c r="A69" s="228" t="s"/>
      <c r="B69" s="228" t="s"/>
      <c r="C69" s="228" t="s"/>
      <c r="D69" s="228" t="s"/>
      <c r="E69" s="228" t="s"/>
      <c r="F69" s="228" t="s"/>
      <c r="G69" s="228" t="s"/>
    </row>
    <row r="70" spans="1:7">
      <c r="A70" s="228" t="s"/>
      <c r="B70" s="228" t="s"/>
      <c r="C70" s="228" t="s"/>
      <c r="D70" s="228" t="s"/>
      <c r="E70" s="228" t="s"/>
      <c r="F70" s="228" t="s"/>
      <c r="G70" s="228" t="s"/>
    </row>
    <row r="71" spans="1:7">
      <c r="A71" s="232" t="s">
        <v>45</v>
      </c>
      <c r="B71" s="232" t="s">
        <v>10</v>
      </c>
      <c r="C71" s="232" t="s">
        <v>11</v>
      </c>
      <c r="D71" s="232" t="s">
        <v>12</v>
      </c>
      <c r="E71" s="232" t="s">
        <v>13</v>
      </c>
      <c r="F71" s="233" t="s">
        <v>14</v>
      </c>
      <c r="G71" s="232" t="s">
        <v>15</v>
      </c>
    </row>
    <row r="72" spans="1:7">
      <c r="A72" s="237" t="s">
        <v>16</v>
      </c>
      <c r="B72" s="238">
        <v>15799.97</v>
      </c>
      <c r="C72" s="239">
        <f>=SUM(B72:B76)*0.2</f>
        <v>7631.732</v>
      </c>
      <c r="D72" s="240">
        <f>=SUM(B72:B76)*0.8/3</f>
        <v>10175.6426666667</v>
      </c>
      <c r="E72" s="237" t="s">
        <v>16</v>
      </c>
      <c r="F72" s="241">
        <f>=D72-B72</f>
        <v>-5624.32733333333</v>
      </c>
      <c r="G72" s="242">
        <f>=D77</f>
        <v>436.666666666667</v>
      </c>
    </row>
    <row r="73" spans="1:7">
      <c r="A73" s="246" t="s">
        <v>17</v>
      </c>
      <c r="B73" s="238">
        <v>3561.86</v>
      </c>
      <c r="C73" s="228" t="s"/>
      <c r="D73" s="228" t="s"/>
      <c r="E73" s="246" t="s">
        <v>17</v>
      </c>
      <c r="F73" s="247">
        <f>=(D72-B73)</f>
        <v>6613.78266666667</v>
      </c>
      <c r="G73" s="228" t="s"/>
    </row>
    <row r="74" spans="1:7">
      <c r="A74" s="237" t="s">
        <v>18</v>
      </c>
      <c r="B74" s="238">
        <v>18796.83</v>
      </c>
      <c r="C74" s="228" t="s"/>
      <c r="D74" s="228" t="s"/>
      <c r="E74" s="237" t="s">
        <v>18</v>
      </c>
      <c r="F74" s="241">
        <f>=D72-B74</f>
        <v>-8621.18733333334</v>
      </c>
      <c r="G74" s="228" t="s"/>
    </row>
    <row r="75" spans="1:7">
      <c r="A75" s="248" t="s">
        <v>20</v>
      </c>
      <c r="B75" s="267" t="s"/>
      <c r="C75" s="228" t="s"/>
      <c r="D75" s="228" t="s"/>
      <c r="F75" s="275">
        <f>=-B66</f>
        <v>0</v>
      </c>
      <c r="G75" s="251" t="s"/>
    </row>
    <row r="76" spans="1:7">
      <c r="A76" t="s">
        <v>49</v>
      </c>
      <c r="B76" s="249" t="s"/>
      <c r="C76" s="228" t="s"/>
      <c r="D76" s="228" t="s"/>
      <c r="E76" s="249" t="s">
        <v>19</v>
      </c>
      <c r="F76" s="250">
        <f>=C72</f>
        <v>7631.732</v>
      </c>
      <c r="G76" s="251">
        <f>=C77</f>
        <v>327.5</v>
      </c>
    </row>
    <row r="77" spans="1:7">
      <c r="A77" s="252" t="s">
        <v>21</v>
      </c>
      <c r="B77" s="253">
        <v>1637.5</v>
      </c>
      <c r="C77" s="253">
        <f>=B77*0.2</f>
        <v>327.5</v>
      </c>
      <c r="D77" s="253">
        <f>=B77*0.8/3</f>
        <v>436.666666666667</v>
      </c>
      <c r="E77" s="252" t="s"/>
      <c r="F77" s="252" t="s"/>
      <c r="G77" s="254" t="s"/>
    </row>
    <row r="78" spans="1:1">
      <c r="A78" s="255" t="s">
        <v>29</v>
      </c>
    </row>
    <row r="81" spans="1:7">
      <c r="A81" s="232" t="s">
        <v>45</v>
      </c>
      <c r="B81" s="232" t="s">
        <v>10</v>
      </c>
      <c r="C81" s="232" t="s">
        <v>11</v>
      </c>
      <c r="D81" s="232" t="s">
        <v>12</v>
      </c>
      <c r="E81" s="232" t="s">
        <v>13</v>
      </c>
      <c r="F81" s="233" t="s">
        <v>14</v>
      </c>
      <c r="G81" s="232" t="s">
        <v>15</v>
      </c>
    </row>
    <row r="82" spans="1:7">
      <c r="A82" s="237" t="s">
        <v>16</v>
      </c>
      <c r="B82" s="238">
        <v>7342.93</v>
      </c>
      <c r="C82" s="258">
        <f>=SUM(B82:B86)*0.2</f>
        <v>3567.81</v>
      </c>
      <c r="D82" s="259">
        <f>=SUM(B82:B86)*0.8/3</f>
        <v>4757.08</v>
      </c>
      <c r="E82" s="237" t="s">
        <v>16</v>
      </c>
      <c r="F82" s="241">
        <f>=D82-B82</f>
        <v>-2585.85</v>
      </c>
      <c r="G82" s="241">
        <f>=D87</f>
        <v>209.066666666667</v>
      </c>
    </row>
    <row r="83" spans="1:6">
      <c r="A83" s="246" t="s">
        <v>17</v>
      </c>
      <c r="B83" s="238">
        <v>2026.76</v>
      </c>
      <c r="E83" s="246" t="s">
        <v>17</v>
      </c>
      <c r="F83" s="247">
        <f>=(D82-B83)</f>
        <v>2730.32</v>
      </c>
    </row>
    <row r="84" spans="1:6">
      <c r="A84" s="237" t="s">
        <v>18</v>
      </c>
      <c r="B84" s="238">
        <v>8469.36</v>
      </c>
      <c r="E84" s="237" t="s">
        <v>18</v>
      </c>
      <c r="F84" s="241">
        <f>=D82-B84</f>
        <v>-3712.28</v>
      </c>
    </row>
    <row r="85" spans="1:7">
      <c r="A85" s="249" t="s">
        <v>20</v>
      </c>
      <c r="B85" s="274" t="s"/>
      <c r="F85" s="275">
        <f>=-B76</f>
        <v>0</v>
      </c>
      <c r="G85" s="251" t="s"/>
    </row>
    <row r="86" spans="2:7">
      <c r="B86" s="249" t="s"/>
      <c r="E86" s="249" t="s">
        <v>19</v>
      </c>
      <c r="F86" s="250">
        <f>=C82</f>
        <v>3567.81</v>
      </c>
      <c r="G86" s="251">
        <f>=C87</f>
        <v>156.8</v>
      </c>
    </row>
    <row r="87" spans="1:7">
      <c r="A87" s="252" t="s">
        <v>21</v>
      </c>
      <c r="B87" s="253">
        <v>784</v>
      </c>
      <c r="C87" s="253">
        <f>=B87*0.2</f>
        <v>156.8</v>
      </c>
      <c r="D87" s="253">
        <f>=B87*0.8/3</f>
        <v>209.066666666667</v>
      </c>
      <c r="E87" s="252" t="s"/>
      <c r="F87" s="252" t="s"/>
      <c r="G87" s="254" t="s"/>
    </row>
    <row r="88" spans="1:1">
      <c r="A88" s="255" t="s">
        <v>30</v>
      </c>
    </row>
    <row r="91" spans="1:7">
      <c r="A91" s="232" t="s">
        <v>45</v>
      </c>
      <c r="B91" s="232" t="s">
        <v>10</v>
      </c>
      <c r="C91" s="232" t="s">
        <v>11</v>
      </c>
      <c r="D91" s="232" t="s">
        <v>12</v>
      </c>
      <c r="E91" s="232" t="s">
        <v>13</v>
      </c>
      <c r="F91" s="233" t="s">
        <v>14</v>
      </c>
      <c r="G91" s="232" t="s">
        <v>15</v>
      </c>
    </row>
    <row r="92" spans="1:7">
      <c r="A92" s="237" t="s">
        <v>16</v>
      </c>
      <c r="B92" s="238">
        <v>6001.17</v>
      </c>
      <c r="C92" s="258">
        <f>=SUM(B92:B96)*0.2</f>
        <v>3029.434</v>
      </c>
      <c r="D92" s="259">
        <f>=SUM(B92:B96)*0.8/3</f>
        <v>4039.24533333333</v>
      </c>
      <c r="E92" s="237" t="s">
        <v>16</v>
      </c>
      <c r="F92" s="241">
        <f>=D92-B92</f>
        <v>-1961.92466666667</v>
      </c>
      <c r="G92" s="241">
        <f>=D97</f>
        <v>232.8</v>
      </c>
    </row>
    <row r="93" spans="1:6">
      <c r="A93" s="246" t="s">
        <v>17</v>
      </c>
      <c r="B93" s="238">
        <v>1677</v>
      </c>
      <c r="E93" s="246" t="s">
        <v>17</v>
      </c>
      <c r="F93" s="247">
        <f>=(D92-B93)</f>
        <v>2362.24533333333</v>
      </c>
    </row>
    <row r="94" spans="1:6">
      <c r="A94" s="237" t="s">
        <v>18</v>
      </c>
      <c r="B94" s="238">
        <v>7469</v>
      </c>
      <c r="E94" s="237" t="s">
        <v>18</v>
      </c>
      <c r="F94" s="241">
        <f>=D92-B94</f>
        <v>-3429.75466666667</v>
      </c>
    </row>
    <row r="95" spans="1:7">
      <c r="A95" s="249" t="s">
        <v>20</v>
      </c>
      <c r="B95" s="274" t="s"/>
      <c r="F95" s="275">
        <f>=-B86</f>
        <v>0</v>
      </c>
      <c r="G95" s="251" t="s"/>
    </row>
    <row r="96" spans="2:7">
      <c r="B96" s="249" t="s"/>
      <c r="E96" s="249" t="s">
        <v>19</v>
      </c>
      <c r="F96" s="250">
        <f>=C92</f>
        <v>3029.434</v>
      </c>
      <c r="G96" s="251">
        <f>=C97</f>
        <v>174.6</v>
      </c>
    </row>
    <row r="97" spans="1:7">
      <c r="A97" s="252" t="s">
        <v>21</v>
      </c>
      <c r="B97" s="253">
        <v>873</v>
      </c>
      <c r="C97" s="253">
        <f>=B97*0.2</f>
        <v>174.6</v>
      </c>
      <c r="D97" s="253">
        <f>=B97*0.8/3</f>
        <v>232.8</v>
      </c>
      <c r="E97" s="252" t="s"/>
      <c r="F97" s="252" t="s"/>
      <c r="G97" s="254" t="s"/>
    </row>
    <row r="98" spans="1:1">
      <c r="A98" s="255" t="s">
        <v>31</v>
      </c>
    </row>
    <row r="101" spans="1:7">
      <c r="A101" s="232" t="s">
        <v>45</v>
      </c>
      <c r="B101" s="232" t="s">
        <v>10</v>
      </c>
      <c r="C101" s="232" t="s">
        <v>11</v>
      </c>
      <c r="D101" s="232" t="s">
        <v>12</v>
      </c>
      <c r="E101" s="232" t="s">
        <v>13</v>
      </c>
      <c r="F101" s="233" t="s">
        <v>14</v>
      </c>
      <c r="G101" s="232" t="s">
        <v>15</v>
      </c>
    </row>
    <row r="102" spans="1:7">
      <c r="A102" s="237" t="s">
        <v>16</v>
      </c>
      <c r="B102" s="238">
        <v>7155.49</v>
      </c>
      <c r="C102" s="258">
        <f>=SUM(B102:B106)*0.2</f>
        <v>3530.042</v>
      </c>
      <c r="D102" s="259">
        <f>=SUM(B102:B106)*0.8/3</f>
        <v>4706.72266666667</v>
      </c>
      <c r="E102" s="237" t="s">
        <v>16</v>
      </c>
      <c r="F102" s="241">
        <f>=D102-B102</f>
        <v>-2448.76733333333</v>
      </c>
      <c r="G102" s="241">
        <f>=D107</f>
        <v>225.776</v>
      </c>
    </row>
    <row r="103" spans="1:6">
      <c r="A103" s="246" t="s">
        <v>17</v>
      </c>
      <c r="B103" s="238">
        <v>2177.91</v>
      </c>
      <c r="E103" s="246" t="s">
        <v>17</v>
      </c>
      <c r="F103" s="247">
        <f>=(D102-B103)</f>
        <v>2528.81266666667</v>
      </c>
    </row>
    <row r="104" spans="1:6">
      <c r="A104" s="237" t="s">
        <v>18</v>
      </c>
      <c r="B104" s="238">
        <v>8316.81</v>
      </c>
      <c r="E104" s="237" t="s">
        <v>18</v>
      </c>
      <c r="F104" s="241">
        <f>=D102-B104</f>
        <v>-3610.08733333333</v>
      </c>
    </row>
    <row r="105" spans="1:7">
      <c r="A105" s="249" t="s">
        <v>20</v>
      </c>
      <c r="B105" s="274" t="s"/>
      <c r="F105" s="275">
        <f>=-B96</f>
        <v>0</v>
      </c>
      <c r="G105" s="251" t="s"/>
    </row>
    <row r="106" spans="2:7">
      <c r="B106" s="249" t="s"/>
      <c r="E106" s="249" t="s">
        <v>19</v>
      </c>
      <c r="F106" s="250">
        <f>=C102</f>
        <v>3530.042</v>
      </c>
      <c r="G106" s="251">
        <f>=C107</f>
        <v>169.332</v>
      </c>
    </row>
    <row r="107" spans="1:7">
      <c r="A107" s="252" t="s">
        <v>21</v>
      </c>
      <c r="B107" s="253">
        <v>846.66</v>
      </c>
      <c r="C107" s="253">
        <f>=B107*0.2</f>
        <v>169.332</v>
      </c>
      <c r="D107" s="253">
        <f>=B107*0.8/3</f>
        <v>225.776</v>
      </c>
      <c r="E107" s="252" t="s"/>
      <c r="F107" s="252" t="s"/>
      <c r="G107" s="254" t="s"/>
    </row>
    <row r="108" spans="1:1">
      <c r="A108" s="255" t="s">
        <v>32</v>
      </c>
    </row>
    <row r="111" spans="1:7">
      <c r="A111" s="232" t="s">
        <v>45</v>
      </c>
      <c r="B111" s="232" t="s">
        <v>10</v>
      </c>
      <c r="C111" s="232" t="s">
        <v>11</v>
      </c>
      <c r="D111" s="232" t="s">
        <v>12</v>
      </c>
      <c r="E111" s="232" t="s">
        <v>13</v>
      </c>
      <c r="F111" s="233" t="s">
        <v>14</v>
      </c>
      <c r="G111" s="232" t="s">
        <v>15</v>
      </c>
    </row>
    <row r="112" spans="1:7">
      <c r="A112" s="237" t="s">
        <v>16</v>
      </c>
      <c r="B112" s="238">
        <v>1492.3</v>
      </c>
      <c r="C112" s="258">
        <f>=SUM(B112:B116)*0.2</f>
        <v>5469.738</v>
      </c>
      <c r="D112" s="259">
        <f>=SUM(B112:B116)*0.8/3</f>
        <v>7292.984</v>
      </c>
      <c r="E112" s="237" t="s">
        <v>16</v>
      </c>
      <c r="F112" s="241">
        <f>=D112-B112</f>
        <v>5800.684</v>
      </c>
      <c r="G112" s="241">
        <f>=D117</f>
        <v>369.976</v>
      </c>
    </row>
    <row r="113" spans="1:6">
      <c r="A113" s="246" t="s">
        <v>17</v>
      </c>
      <c r="B113" s="238">
        <v>12620.16</v>
      </c>
      <c r="E113" s="246" t="s">
        <v>17</v>
      </c>
      <c r="F113" s="247">
        <f>=(D112-B113)</f>
        <v>-5327.176</v>
      </c>
    </row>
    <row r="114" spans="1:6">
      <c r="A114" s="237" t="s">
        <v>18</v>
      </c>
      <c r="B114" s="238">
        <v>13236.23</v>
      </c>
      <c r="E114" s="237" t="s">
        <v>18</v>
      </c>
      <c r="F114" s="241">
        <f>=D112-B114</f>
        <v>-5943.246</v>
      </c>
    </row>
    <row r="115" spans="1:7">
      <c r="A115" s="249" t="s">
        <v>20</v>
      </c>
      <c r="B115" s="274" t="s"/>
      <c r="F115" s="275">
        <f>=-B106</f>
        <v>0</v>
      </c>
      <c r="G115" s="251" t="s"/>
    </row>
    <row r="116" spans="2:7">
      <c r="B116" s="249" t="s"/>
      <c r="E116" s="249" t="s">
        <v>19</v>
      </c>
      <c r="F116" s="250">
        <f>=C112</f>
        <v>5469.738</v>
      </c>
      <c r="G116" s="251">
        <f>=C117</f>
        <v>277.482</v>
      </c>
    </row>
    <row r="117" spans="1:7">
      <c r="A117" s="252" t="s">
        <v>21</v>
      </c>
      <c r="B117" s="253">
        <v>1387.41</v>
      </c>
      <c r="C117" s="253">
        <f>=B117*0.2</f>
        <v>277.482</v>
      </c>
      <c r="D117" s="253">
        <f>=B117*0.8/3</f>
        <v>369.976</v>
      </c>
      <c r="E117" s="252" t="s"/>
      <c r="F117" s="252" t="s"/>
      <c r="G117" s="254" t="s"/>
    </row>
    <row r="118" spans="1:1">
      <c r="A118" s="255" t="s">
        <v>33</v>
      </c>
    </row>
    <row r="121" spans="1:7">
      <c r="A121" s="232" t="s">
        <v>45</v>
      </c>
      <c r="B121" s="232" t="s">
        <v>10</v>
      </c>
      <c r="C121" s="232" t="s">
        <v>11</v>
      </c>
      <c r="D121" s="232" t="s">
        <v>12</v>
      </c>
      <c r="E121" s="232" t="s">
        <v>13</v>
      </c>
      <c r="F121" s="233" t="s">
        <v>14</v>
      </c>
      <c r="G121" s="232" t="s">
        <v>15</v>
      </c>
    </row>
    <row r="122" spans="1:7">
      <c r="A122" s="237" t="s">
        <v>16</v>
      </c>
      <c r="B122" s="238">
        <v>3996.96</v>
      </c>
      <c r="C122" s="258">
        <f>=SUM(B122:B126)*0.2</f>
        <v>7030.782</v>
      </c>
      <c r="D122" s="259">
        <f>=SUM(B122:B126)*0.8/3</f>
        <v>9374.376</v>
      </c>
      <c r="E122" s="237" t="s">
        <v>16</v>
      </c>
      <c r="F122" s="241">
        <f>=D122-B122</f>
        <v>5377.416</v>
      </c>
      <c r="G122" s="241">
        <f>=D127</f>
        <v>403.645333333333</v>
      </c>
    </row>
    <row r="123" spans="1:6">
      <c r="A123" s="246" t="s">
        <v>17</v>
      </c>
      <c r="B123" s="238">
        <v>14696.73</v>
      </c>
      <c r="E123" s="246" t="s">
        <v>17</v>
      </c>
      <c r="F123" s="247">
        <f>=(D122-B123)</f>
        <v>-5322.354</v>
      </c>
    </row>
    <row r="124" spans="1:6">
      <c r="A124" s="237" t="s">
        <v>18</v>
      </c>
      <c r="B124" s="238">
        <v>16460.22</v>
      </c>
      <c r="E124" s="237" t="s">
        <v>18</v>
      </c>
      <c r="F124" s="241">
        <f>=D122-B124</f>
        <v>-7085.844</v>
      </c>
    </row>
    <row r="125" spans="1:7">
      <c r="A125" s="249" t="s">
        <v>20</v>
      </c>
      <c r="B125" s="274" t="s"/>
      <c r="F125" s="275">
        <f>=-B116</f>
        <v>0</v>
      </c>
      <c r="G125" s="251" t="s"/>
    </row>
    <row r="126" spans="2:7">
      <c r="B126" s="249" t="s"/>
      <c r="E126" s="249" t="s">
        <v>19</v>
      </c>
      <c r="F126" s="250">
        <f>=C122</f>
        <v>7030.782</v>
      </c>
      <c r="G126" s="251">
        <f>=C127</f>
        <v>302.734</v>
      </c>
    </row>
    <row r="127" spans="1:7">
      <c r="A127" s="252" t="s">
        <v>21</v>
      </c>
      <c r="B127" s="253">
        <v>1513.67</v>
      </c>
      <c r="C127" s="253">
        <f>=B127*0.2</f>
        <v>302.734</v>
      </c>
      <c r="D127" s="253">
        <f>=B127*0.8/3</f>
        <v>403.645333333333</v>
      </c>
      <c r="E127" s="252" t="s"/>
      <c r="F127" s="252" t="s"/>
      <c r="G127" s="254" t="s"/>
    </row>
  </sheetData>
  <mergeCells count="55">
    <mergeCell ref="A108:G110"/>
    <mergeCell ref="C112:C116"/>
    <mergeCell ref="D112:D116"/>
    <mergeCell ref="G112:G114"/>
    <mergeCell ref="A118:G120"/>
    <mergeCell ref="C122:C126"/>
    <mergeCell ref="D122:D126"/>
    <mergeCell ref="G122:G124"/>
    <mergeCell ref="A98:G100"/>
    <mergeCell ref="C102:C106"/>
    <mergeCell ref="D102:D106"/>
    <mergeCell ref="G102:G104"/>
    <mergeCell ref="A88:G90"/>
    <mergeCell ref="C92:C96"/>
    <mergeCell ref="D92:D96"/>
    <mergeCell ref="G92:G94"/>
    <mergeCell ref="A78:G80"/>
    <mergeCell ref="C82:C86"/>
    <mergeCell ref="D82:D86"/>
    <mergeCell ref="G82:G84"/>
    <mergeCell ref="A68:G70"/>
    <mergeCell ref="C72:C76"/>
    <mergeCell ref="D72:D76"/>
    <mergeCell ref="G72:G74"/>
    <mergeCell ref="A48:G50"/>
    <mergeCell ref="C52:C56"/>
    <mergeCell ref="D52:D56"/>
    <mergeCell ref="A58:G60"/>
    <mergeCell ref="G52:G54"/>
    <mergeCell ref="C62:C66"/>
    <mergeCell ref="D62:D66"/>
    <mergeCell ref="G62:G64"/>
    <mergeCell ref="C26:C30"/>
    <mergeCell ref="D26:D30"/>
    <mergeCell ref="G26:G28"/>
    <mergeCell ref="A38:G40"/>
    <mergeCell ref="C42:C46"/>
    <mergeCell ref="D42:D46"/>
    <mergeCell ref="G42:G44"/>
    <mergeCell ref="C33:C36"/>
    <mergeCell ref="D33:D36"/>
    <mergeCell ref="A12:G14"/>
    <mergeCell ref="C16:C20"/>
    <mergeCell ref="D16:D20"/>
    <mergeCell ref="G16:G18"/>
    <mergeCell ref="A19:B19"/>
    <mergeCell ref="A22:G24"/>
    <mergeCell ref="C6:C10"/>
    <mergeCell ref="D6:D10"/>
    <mergeCell ref="G6:G8"/>
    <mergeCell ref="A9:B9"/>
    <mergeCell ref="A2:F4"/>
    <mergeCell ref="G2:G4"/>
    <mergeCell ref="H2:H4"/>
    <mergeCell ref="I2:I4"/>
  </mergeCells>
</worksheet>
</file>

<file path=xl/worksheets/sheet5.xml><?xml version="1.0" encoding="utf-8"?>
<worksheet xmlns="http://schemas.openxmlformats.org/spreadsheetml/2006/main">
  <sheetPr codeName="Z2023年">
    <tabColor/>
  </sheetPr>
  <dimension ref="G127"/>
  <sheetViews>
    <sheetView showGridLines="1" rightToLeft="0" workbookViewId="0"/>
  </sheetViews>
  <sheetFormatPr baseColWidth="13" defaultRowHeight="18" customHeight="1"/>
  <cols>
    <col min="4" max="4" width="23.8711" customWidth="1"/>
    <col min="6" max="6" width="25.7617" style="3" customWidth="1"/>
    <col min="7" max="7" width="22.9336" customWidth="1"/>
    <col min="8" max="8" width="22.2539" customWidth="1"/>
    <col min="9" max="9" width="27.5117" style="334" customWidth="1"/>
  </cols>
  <sheetData>
    <row r="1" spans="1:10">
      <c r="A1" s="224" t="s"/>
      <c r="B1" s="224" t="s"/>
      <c r="C1" s="224" t="s"/>
      <c r="D1" s="224" t="s"/>
      <c r="E1" s="224" t="s"/>
      <c r="F1" s="224" t="s"/>
      <c r="G1" s="224" t="s">
        <v>1</v>
      </c>
      <c r="H1" s="224" t="s">
        <v>43</v>
      </c>
      <c r="I1" s="32" t="s">
        <v>44</v>
      </c>
      <c r="J1" t="s">
        <v>50</v>
      </c>
    </row>
    <row r="2" spans="1:10">
      <c r="A2" s="278" t="s">
        <v>5</v>
      </c>
      <c r="B2" s="279" t="s"/>
      <c r="C2" s="279" t="s"/>
      <c r="D2" s="279" t="s"/>
      <c r="E2" s="279" t="s"/>
      <c r="F2" s="280" t="s"/>
      <c r="G2" s="281">
        <f>=SUM(B:B)</f>
        <v>413293.96</v>
      </c>
      <c r="H2" s="282">
        <f>=SUM(C:C)</f>
        <v>82658.792</v>
      </c>
      <c r="I2" s="283">
        <f>=SUM(D:D)</f>
        <v>110211.722666667</v>
      </c>
      <c r="J2" s="284">
        <f>=I2/12</f>
        <v>9184.31022222222</v>
      </c>
    </row>
    <row r="3" spans="1:10">
      <c r="A3" s="285" t="s"/>
      <c r="B3" s="286" t="s"/>
      <c r="C3" s="286" t="s"/>
      <c r="D3" s="286" t="s"/>
      <c r="E3" s="286" t="s"/>
      <c r="F3" s="287" t="s"/>
      <c r="G3" s="288" t="s"/>
      <c r="H3" s="288" t="s"/>
      <c r="I3" s="288" t="s"/>
      <c r="J3" s="288" t="s"/>
    </row>
    <row r="4" spans="1:10">
      <c r="A4" s="289" t="s"/>
      <c r="B4" s="290" t="s"/>
      <c r="C4" s="290" t="s"/>
      <c r="D4" s="290" t="s"/>
      <c r="E4" s="290" t="s"/>
      <c r="F4" s="291" t="s"/>
      <c r="G4" s="292" t="s"/>
      <c r="H4" s="292" t="s"/>
      <c r="I4" s="292" t="s"/>
      <c r="J4" s="292" t="s"/>
    </row>
    <row r="5" spans="1:26" s="330">
      <c r="A5" s="232" t="s">
        <v>45</v>
      </c>
      <c r="B5" s="232" t="s">
        <v>10</v>
      </c>
      <c r="C5" s="232" t="s">
        <v>11</v>
      </c>
      <c r="D5" s="232" t="s">
        <v>12</v>
      </c>
      <c r="E5" s="232" t="s">
        <v>13</v>
      </c>
      <c r="F5" s="233" t="s">
        <v>14</v>
      </c>
      <c r="G5" s="232" t="s">
        <v>15</v>
      </c>
      <c r="H5" s="293" t="s"/>
      <c r="I5" s="294" t="s"/>
      <c r="J5" s="236" t="s"/>
      <c r="K5" s="236" t="s"/>
      <c r="L5" s="236" t="s"/>
      <c r="M5" s="236" t="s"/>
      <c r="N5" s="236" t="s"/>
      <c r="O5" s="236" t="s"/>
      <c r="P5" s="236" t="s"/>
      <c r="Q5" s="236" t="s"/>
      <c r="R5" s="236" t="s"/>
      <c r="S5" s="236" t="s"/>
      <c r="T5" s="236" t="s"/>
      <c r="U5" s="236" t="s"/>
      <c r="V5" s="236" t="s"/>
      <c r="W5" s="236" t="s"/>
      <c r="X5" s="236" t="s"/>
      <c r="Y5" s="236" t="s"/>
      <c r="Z5" s="236" t="s"/>
    </row>
    <row r="6" spans="1:26" s="331" ht="18.75" customHeight="1">
      <c r="A6" s="237" t="s">
        <v>16</v>
      </c>
      <c r="B6" s="238">
        <v>5402.62</v>
      </c>
      <c r="C6" s="295">
        <f>=SUM(B6:B10)*0.2</f>
        <v>7626.006</v>
      </c>
      <c r="D6" s="296">
        <f>=SUM(B6:B10)*0.8/3</f>
        <v>10168.008</v>
      </c>
      <c r="E6" s="237" t="s">
        <v>16</v>
      </c>
      <c r="F6" s="241">
        <f>=D6-B6</f>
        <v>4765.388</v>
      </c>
      <c r="G6" s="297">
        <f>=D11</f>
        <v>675.784</v>
      </c>
      <c r="H6" s="298" t="s"/>
      <c r="I6" s="299" t="s"/>
      <c r="J6" s="245" t="s"/>
      <c r="K6" s="245" t="s"/>
      <c r="L6" s="245" t="s"/>
      <c r="M6" s="245" t="s"/>
      <c r="N6" s="245" t="s"/>
      <c r="O6" s="245" t="s"/>
      <c r="P6" s="245" t="s"/>
      <c r="Q6" s="245" t="s"/>
      <c r="R6" s="245" t="s"/>
      <c r="S6" s="245" t="s"/>
      <c r="T6" s="245" t="s"/>
      <c r="U6" s="245" t="s"/>
      <c r="V6" s="245" t="s"/>
      <c r="W6" s="245" t="s"/>
      <c r="X6" s="245" t="s"/>
      <c r="Y6" s="245" t="s"/>
      <c r="Z6" s="245" t="s"/>
    </row>
    <row r="7" spans="1:26" s="332" ht="18.75" customHeight="1">
      <c r="A7" s="246" t="s">
        <v>17</v>
      </c>
      <c r="B7" s="238">
        <v>10757.66</v>
      </c>
      <c r="C7" s="288" t="s"/>
      <c r="D7" s="288" t="s"/>
      <c r="E7" s="246" t="s">
        <v>17</v>
      </c>
      <c r="F7" s="247">
        <f>=(D6-B7)</f>
        <v>-589.652</v>
      </c>
      <c r="G7" s="288" t="s"/>
      <c r="H7" s="298" t="s"/>
      <c r="I7" s="299" t="s"/>
      <c r="J7" s="245" t="s"/>
      <c r="K7" s="245" t="s"/>
      <c r="L7" s="245" t="s"/>
      <c r="M7" s="245" t="s"/>
      <c r="N7" s="245" t="s"/>
      <c r="O7" s="245" t="s"/>
      <c r="P7" s="245" t="s"/>
      <c r="Q7" s="245" t="s"/>
      <c r="R7" s="245" t="s"/>
      <c r="S7" s="245" t="s"/>
      <c r="T7" s="245" t="s"/>
      <c r="U7" s="245" t="s"/>
      <c r="V7" s="245" t="s"/>
      <c r="W7" s="245" t="s"/>
      <c r="X7" s="245" t="s"/>
      <c r="Y7" s="245" t="s"/>
      <c r="Z7" s="245" t="s"/>
    </row>
    <row r="8" spans="1:26" s="331" ht="18.75" customHeight="1">
      <c r="A8" s="237" t="s">
        <v>18</v>
      </c>
      <c r="B8" s="238">
        <v>7589.15</v>
      </c>
      <c r="C8" s="288" t="s"/>
      <c r="D8" s="288" t="s"/>
      <c r="E8" s="237" t="s">
        <v>18</v>
      </c>
      <c r="F8" s="241">
        <f>=D6-B8</f>
        <v>2578.858</v>
      </c>
      <c r="G8" s="292" t="s"/>
      <c r="H8" s="298" t="s"/>
      <c r="I8" s="299" t="s"/>
      <c r="J8" s="245" t="s"/>
      <c r="K8" s="245" t="s"/>
      <c r="L8" s="245" t="s"/>
      <c r="M8" s="245" t="s"/>
      <c r="N8" s="245" t="s"/>
      <c r="O8" s="245" t="s"/>
      <c r="P8" s="245" t="s"/>
      <c r="Q8" s="245" t="s"/>
      <c r="R8" s="245" t="s"/>
      <c r="S8" s="245" t="s"/>
      <c r="T8" s="245" t="s"/>
      <c r="U8" s="245" t="s"/>
      <c r="V8" s="245" t="s"/>
      <c r="W8" s="245" t="s"/>
      <c r="X8" s="245" t="s"/>
      <c r="Y8" s="245" t="s"/>
      <c r="Z8" s="245" t="s"/>
    </row>
    <row r="9" spans="1:26" s="274" ht="21" customHeight="1">
      <c r="A9" s="300" t="s"/>
      <c r="B9" s="301" t="s"/>
      <c r="C9" s="288" t="s"/>
      <c r="D9" s="288" t="s"/>
      <c r="E9" s="249" t="s">
        <v>19</v>
      </c>
      <c r="F9" s="250">
        <f>=C6</f>
        <v>7626.006</v>
      </c>
      <c r="G9" s="251">
        <f>=C11</f>
        <v>506.838</v>
      </c>
      <c r="H9" s="298" t="s"/>
      <c r="I9" s="299" t="s"/>
      <c r="J9" s="245" t="s"/>
      <c r="K9" s="245" t="s"/>
      <c r="L9" s="245" t="s"/>
      <c r="M9" s="245" t="s"/>
      <c r="N9" s="245" t="s"/>
      <c r="O9" s="245" t="s"/>
      <c r="P9" s="245" t="s"/>
      <c r="Q9" s="245" t="s"/>
      <c r="R9" s="245" t="s"/>
      <c r="S9" s="245" t="s"/>
      <c r="T9" s="245" t="s"/>
      <c r="U9" s="245" t="s"/>
      <c r="V9" s="245" t="s"/>
      <c r="W9" s="245" t="s"/>
      <c r="X9" s="245" t="s"/>
      <c r="Y9" s="245" t="s"/>
      <c r="Z9" s="245" t="s"/>
    </row>
    <row r="10" spans="1:26" s="274">
      <c r="A10" s="249" t="s">
        <v>20</v>
      </c>
      <c r="B10" s="249">
        <v>14380.6</v>
      </c>
      <c r="C10" s="292" t="s"/>
      <c r="D10" s="292" t="s"/>
      <c r="E10" s="249" t="s">
        <v>46</v>
      </c>
      <c r="F10" s="251">
        <f>=-B10</f>
        <v>-14380.6</v>
      </c>
      <c r="G10" s="251" t="s"/>
      <c r="H10" s="298" t="s"/>
      <c r="I10" s="299" t="s"/>
      <c r="J10" s="245" t="s"/>
      <c r="K10" s="245" t="s"/>
      <c r="L10" s="245" t="s"/>
      <c r="M10" s="245" t="s"/>
      <c r="N10" s="245" t="s"/>
      <c r="O10" s="245" t="s"/>
      <c r="P10" s="245" t="s"/>
      <c r="Q10" s="245" t="s"/>
      <c r="R10" s="245" t="s"/>
      <c r="S10" s="245" t="s"/>
      <c r="T10" s="245" t="s"/>
      <c r="U10" s="245" t="s"/>
      <c r="V10" s="245" t="s"/>
      <c r="W10" s="245" t="s"/>
      <c r="X10" s="245" t="s"/>
      <c r="Y10" s="245" t="s"/>
      <c r="Z10" s="245" t="s"/>
    </row>
    <row r="11" spans="1:26" s="333">
      <c r="A11" s="252" t="s">
        <v>21</v>
      </c>
      <c r="B11" s="253">
        <v>2534.19</v>
      </c>
      <c r="C11" s="253">
        <f>=B11*0.2</f>
        <v>506.838</v>
      </c>
      <c r="D11" s="253">
        <f>=B11*0.8/3</f>
        <v>675.784</v>
      </c>
      <c r="E11" s="252" t="s"/>
      <c r="F11" s="252" t="s"/>
      <c r="G11" s="254" t="s"/>
      <c r="H11" s="298" t="s"/>
      <c r="I11" s="299" t="s"/>
      <c r="J11" s="245" t="s"/>
      <c r="K11" s="245" t="s"/>
      <c r="L11" s="245" t="s"/>
      <c r="M11" s="245" t="s"/>
      <c r="N11" s="245" t="s"/>
      <c r="O11" s="245" t="s"/>
      <c r="P11" s="245" t="s"/>
      <c r="Q11" s="245" t="s"/>
      <c r="R11" s="245" t="s"/>
      <c r="S11" s="245" t="s"/>
      <c r="T11" s="245" t="s"/>
      <c r="U11" s="245" t="s"/>
      <c r="V11" s="245" t="s"/>
      <c r="W11" s="245" t="s"/>
      <c r="X11" s="245" t="s"/>
      <c r="Y11" s="245" t="s"/>
      <c r="Z11" s="245" t="s"/>
    </row>
    <row r="12" spans="1:26" s="333">
      <c r="A12" s="255" t="s">
        <v>22</v>
      </c>
      <c r="B12" s="302" t="s"/>
      <c r="C12" s="302" t="s"/>
      <c r="D12" s="302" t="s"/>
      <c r="E12" s="303" t="s"/>
      <c r="F12" s="303" t="s"/>
      <c r="G12" s="303" t="s"/>
      <c r="H12" s="224" t="s"/>
      <c r="I12" s="32" t="s"/>
      <c r="J12" s="245" t="s"/>
      <c r="K12" s="245" t="s"/>
      <c r="L12" s="245" t="s"/>
      <c r="M12" s="245" t="s"/>
      <c r="N12" s="245" t="s"/>
      <c r="O12" s="245" t="s"/>
      <c r="P12" s="245" t="s"/>
      <c r="Q12" s="245" t="s"/>
      <c r="R12" s="245" t="s"/>
      <c r="S12" s="245" t="s"/>
      <c r="T12" s="245" t="s"/>
      <c r="U12" s="245" t="s"/>
      <c r="V12" s="245" t="s"/>
      <c r="W12" s="245" t="s"/>
      <c r="X12" s="245" t="s"/>
      <c r="Y12" s="245" t="s"/>
      <c r="Z12" s="245" t="s"/>
    </row>
    <row r="13" spans="1:26" s="333">
      <c r="A13" s="303" t="s"/>
      <c r="B13" s="302" t="s"/>
      <c r="C13" s="302" t="s"/>
      <c r="D13" s="302" t="s"/>
      <c r="E13" s="303" t="s"/>
      <c r="F13" s="303" t="s"/>
      <c r="G13" s="303" t="s"/>
      <c r="H13" s="224" t="s"/>
      <c r="I13" s="32" t="s"/>
      <c r="J13" s="245" t="s"/>
      <c r="K13" s="245" t="s"/>
      <c r="L13" s="245" t="s"/>
      <c r="M13" s="245" t="s"/>
      <c r="N13" s="245" t="s"/>
      <c r="O13" s="245" t="s"/>
      <c r="P13" s="245" t="s"/>
      <c r="Q13" s="245" t="s"/>
      <c r="R13" s="245" t="s"/>
      <c r="S13" s="245" t="s"/>
      <c r="T13" s="245" t="s"/>
      <c r="U13" s="245" t="s"/>
      <c r="V13" s="245" t="s"/>
      <c r="W13" s="245" t="s"/>
      <c r="X13" s="245" t="s"/>
      <c r="Y13" s="245" t="s"/>
      <c r="Z13" s="245" t="s"/>
    </row>
    <row r="14" spans="1:26" s="333">
      <c r="A14" s="303" t="s"/>
      <c r="B14" s="302" t="s"/>
      <c r="C14" s="302" t="s"/>
      <c r="D14" s="302" t="s"/>
      <c r="E14" s="303" t="s"/>
      <c r="F14" s="303" t="s"/>
      <c r="G14" s="303" t="s"/>
      <c r="H14" s="224" t="s"/>
      <c r="I14" s="32" t="s"/>
      <c r="J14" s="245" t="s"/>
      <c r="K14" s="245" t="s"/>
      <c r="L14" s="245" t="s"/>
      <c r="M14" s="245" t="s"/>
      <c r="N14" s="245" t="s"/>
      <c r="O14" s="245" t="s"/>
      <c r="P14" s="245" t="s"/>
      <c r="Q14" s="245" t="s"/>
      <c r="R14" s="245" t="s"/>
      <c r="S14" s="245" t="s"/>
      <c r="T14" s="245" t="s"/>
      <c r="U14" s="245" t="s"/>
      <c r="V14" s="245" t="s"/>
      <c r="W14" s="245" t="s"/>
      <c r="X14" s="245" t="s"/>
      <c r="Y14" s="245" t="s"/>
      <c r="Z14" s="245" t="s"/>
    </row>
    <row r="15" spans="1:26" s="333">
      <c r="A15" s="232" t="s">
        <v>45</v>
      </c>
      <c r="B15" s="232" t="s">
        <v>10</v>
      </c>
      <c r="C15" s="232" t="s">
        <v>11</v>
      </c>
      <c r="D15" s="232" t="s">
        <v>12</v>
      </c>
      <c r="E15" s="232" t="s">
        <v>13</v>
      </c>
      <c r="F15" s="233" t="s">
        <v>14</v>
      </c>
      <c r="G15" s="232" t="s">
        <v>15</v>
      </c>
      <c r="H15" s="224" t="s"/>
      <c r="I15" s="32" t="s"/>
      <c r="J15" s="245" t="s"/>
      <c r="K15" s="245" t="s"/>
      <c r="L15" s="245" t="s"/>
      <c r="M15" s="245" t="s"/>
      <c r="N15" s="245" t="s"/>
      <c r="O15" s="245" t="s"/>
      <c r="P15" s="245" t="s"/>
      <c r="Q15" s="245" t="s"/>
      <c r="R15" s="245" t="s"/>
      <c r="S15" s="245" t="s"/>
      <c r="T15" s="245" t="s"/>
      <c r="U15" s="245" t="s"/>
      <c r="V15" s="245" t="s"/>
      <c r="W15" s="245" t="s"/>
      <c r="X15" s="245" t="s"/>
      <c r="Y15" s="245" t="s"/>
      <c r="Z15" s="245" t="s"/>
    </row>
    <row r="16" spans="1:26" s="333">
      <c r="A16" s="237" t="s">
        <v>16</v>
      </c>
      <c r="B16" s="257">
        <v>856.05</v>
      </c>
      <c r="C16" s="258">
        <f>=SUM(B16:B20)*0.2</f>
        <v>6101.322</v>
      </c>
      <c r="D16" s="259">
        <f>=SUM(B16:B20)*0.8/3</f>
        <v>8135.096</v>
      </c>
      <c r="E16" s="237" t="s">
        <v>16</v>
      </c>
      <c r="F16" s="241">
        <f>=D16-B16</f>
        <v>7279.046</v>
      </c>
      <c r="G16" s="241">
        <f>=D21</f>
        <v>529.066666666667</v>
      </c>
      <c r="H16" s="224" t="s"/>
      <c r="I16" s="32" t="s"/>
      <c r="J16" s="245" t="s"/>
      <c r="K16" s="245" t="s"/>
      <c r="L16" s="245" t="s"/>
      <c r="M16" s="245" t="s"/>
      <c r="N16" s="245" t="s"/>
      <c r="O16" s="245" t="s"/>
      <c r="P16" s="245" t="s"/>
      <c r="Q16" s="245" t="s"/>
      <c r="R16" s="245" t="s"/>
      <c r="S16" s="245" t="s"/>
      <c r="T16" s="245" t="s"/>
      <c r="U16" s="245" t="s"/>
      <c r="V16" s="245" t="s"/>
      <c r="W16" s="245" t="s"/>
      <c r="X16" s="245" t="s"/>
      <c r="Y16" s="245" t="s"/>
      <c r="Z16" s="245" t="s"/>
    </row>
    <row r="17" spans="1:26" s="333">
      <c r="A17" s="246" t="s">
        <v>17</v>
      </c>
      <c r="B17" s="238">
        <v>27284.55</v>
      </c>
      <c r="C17" s="302" t="s"/>
      <c r="D17" s="302" t="s"/>
      <c r="E17" s="246" t="s">
        <v>17</v>
      </c>
      <c r="F17" s="247">
        <f>=(D16-B17)</f>
        <v>-19149.454</v>
      </c>
      <c r="G17" s="303" t="s"/>
      <c r="H17" s="224" t="s"/>
      <c r="I17" s="32" t="s"/>
      <c r="J17" s="245" t="s"/>
      <c r="K17" s="245" t="s"/>
      <c r="L17" s="245" t="s"/>
      <c r="M17" s="245" t="s"/>
      <c r="N17" s="245" t="s"/>
      <c r="O17" s="245" t="s"/>
      <c r="P17" s="245" t="s"/>
      <c r="Q17" s="245" t="s"/>
      <c r="R17" s="245" t="s"/>
      <c r="S17" s="245" t="s"/>
      <c r="T17" s="245" t="s"/>
      <c r="U17" s="245" t="s"/>
      <c r="V17" s="245" t="s"/>
      <c r="W17" s="245" t="s"/>
      <c r="X17" s="245" t="s"/>
      <c r="Y17" s="245" t="s"/>
      <c r="Z17" s="245" t="s"/>
    </row>
    <row r="18" spans="1:26" s="333">
      <c r="A18" s="237" t="s">
        <v>18</v>
      </c>
      <c r="B18" s="238">
        <v>1099.37</v>
      </c>
      <c r="C18" s="302" t="s"/>
      <c r="D18" s="302" t="s"/>
      <c r="E18" s="237" t="s">
        <v>18</v>
      </c>
      <c r="F18" s="241">
        <f>=D16-B18</f>
        <v>7035.726</v>
      </c>
      <c r="G18" s="303" t="s"/>
      <c r="H18" s="224" t="s"/>
      <c r="I18" s="32" t="s"/>
      <c r="J18" s="245" t="s"/>
      <c r="K18" s="245" t="s"/>
      <c r="L18" s="245" t="s"/>
      <c r="M18" s="245" t="s"/>
      <c r="N18" s="245" t="s"/>
      <c r="O18" s="245" t="s"/>
      <c r="P18" s="245" t="s"/>
      <c r="Q18" s="245" t="s"/>
      <c r="R18" s="245" t="s"/>
      <c r="S18" s="245" t="s"/>
      <c r="T18" s="245" t="s"/>
      <c r="U18" s="245" t="s"/>
      <c r="V18" s="245" t="s"/>
      <c r="W18" s="245" t="s"/>
      <c r="X18" s="245" t="s"/>
      <c r="Y18" s="245" t="s"/>
      <c r="Z18" s="245" t="s"/>
    </row>
    <row r="19" spans="1:26" s="333">
      <c r="A19" s="249" t="s"/>
      <c r="B19" s="302" t="s"/>
      <c r="C19" s="302" t="s"/>
      <c r="D19" s="302" t="s"/>
      <c r="E19" s="249" t="s">
        <v>19</v>
      </c>
      <c r="F19" s="250">
        <f>=C16</f>
        <v>6101.322</v>
      </c>
      <c r="G19" s="251">
        <f>=C21</f>
        <v>396.8</v>
      </c>
      <c r="H19" s="224" t="s"/>
      <c r="I19" s="32" t="s"/>
      <c r="J19" s="245" t="s"/>
      <c r="K19" s="245" t="s"/>
      <c r="L19" s="245" t="s"/>
      <c r="M19" s="245" t="s"/>
      <c r="N19" s="245" t="s"/>
      <c r="O19" s="245" t="s"/>
      <c r="P19" s="245" t="s"/>
      <c r="Q19" s="245" t="s"/>
      <c r="R19" s="245" t="s"/>
      <c r="S19" s="245" t="s"/>
      <c r="T19" s="245" t="s"/>
      <c r="U19" s="245" t="s"/>
      <c r="V19" s="245" t="s"/>
      <c r="W19" s="245" t="s"/>
      <c r="X19" s="245" t="s"/>
      <c r="Y19" s="245" t="s"/>
      <c r="Z19" s="245" t="s"/>
    </row>
    <row r="20" spans="1:26" s="333">
      <c r="A20" s="249" t="s">
        <v>20</v>
      </c>
      <c r="B20" s="260">
        <v>1266.64</v>
      </c>
      <c r="C20" s="302" t="s"/>
      <c r="D20" s="302" t="s"/>
      <c r="E20" s="249" t="s">
        <v>46</v>
      </c>
      <c r="F20" s="251">
        <f>=-B20</f>
        <v>-1266.64</v>
      </c>
      <c r="G20" s="251" t="s"/>
      <c r="H20" s="224" t="s"/>
      <c r="I20" s="32" t="s"/>
      <c r="J20" s="245" t="s"/>
      <c r="K20" s="245" t="s"/>
      <c r="L20" s="245" t="s"/>
      <c r="M20" s="245" t="s"/>
      <c r="N20" s="245" t="s"/>
      <c r="O20" s="245" t="s"/>
      <c r="P20" s="245" t="s"/>
      <c r="Q20" s="245" t="s"/>
      <c r="R20" s="245" t="s"/>
      <c r="S20" s="245" t="s"/>
      <c r="T20" s="245" t="s"/>
      <c r="U20" s="245" t="s"/>
      <c r="V20" s="245" t="s"/>
      <c r="W20" s="245" t="s"/>
      <c r="X20" s="245" t="s"/>
      <c r="Y20" s="245" t="s"/>
      <c r="Z20" s="245" t="s"/>
    </row>
    <row r="21" spans="1:7">
      <c r="A21" s="304" t="s">
        <v>21</v>
      </c>
      <c r="B21" s="305">
        <v>1984</v>
      </c>
      <c r="C21" s="306">
        <f>=B21*0.2</f>
        <v>396.8</v>
      </c>
      <c r="D21" s="307">
        <f>=B21*0.8/3</f>
        <v>529.066666666667</v>
      </c>
      <c r="E21" s="308" t="s"/>
      <c r="F21" s="308" t="s"/>
      <c r="G21" s="309" t="s"/>
    </row>
    <row r="22" spans="1:7">
      <c r="A22" s="255" t="s">
        <v>23</v>
      </c>
      <c r="B22" s="302" t="s"/>
      <c r="C22" s="302" t="s"/>
      <c r="D22" s="302" t="s"/>
      <c r="E22" s="303" t="s"/>
      <c r="F22" s="303" t="s"/>
      <c r="G22" s="303" t="s"/>
    </row>
    <row r="23" spans="1:7">
      <c r="A23" s="303" t="s"/>
      <c r="B23" s="302" t="s"/>
      <c r="C23" s="302" t="s"/>
      <c r="D23" s="302" t="s"/>
      <c r="E23" s="303" t="s"/>
      <c r="F23" s="303" t="s"/>
      <c r="G23" s="303" t="s"/>
    </row>
    <row r="24" spans="1:7">
      <c r="A24" s="303" t="s"/>
      <c r="B24" s="302" t="s"/>
      <c r="C24" s="302" t="s"/>
      <c r="D24" s="302" t="s"/>
      <c r="E24" s="303" t="s"/>
      <c r="F24" s="303" t="s"/>
      <c r="G24" s="303" t="s"/>
    </row>
    <row r="25" spans="1:7">
      <c r="A25" s="232" t="s">
        <v>45</v>
      </c>
      <c r="B25" s="232" t="s">
        <v>10</v>
      </c>
      <c r="C25" s="232" t="s">
        <v>11</v>
      </c>
      <c r="D25" s="232" t="s">
        <v>12</v>
      </c>
      <c r="E25" s="232" t="s">
        <v>13</v>
      </c>
      <c r="F25" s="310" t="s">
        <v>14</v>
      </c>
      <c r="G25" s="232" t="s">
        <v>15</v>
      </c>
    </row>
    <row r="26" spans="1:7">
      <c r="A26" s="237" t="s">
        <v>16</v>
      </c>
      <c r="B26" s="238">
        <v>24.25</v>
      </c>
      <c r="C26" s="295">
        <f>=SUM(B26:B30)*0.2</f>
        <v>3032.568</v>
      </c>
      <c r="D26" s="296">
        <f>=SUM(B26:B30)*0.8/3</f>
        <v>4043.424</v>
      </c>
      <c r="E26" s="237" t="s">
        <v>16</v>
      </c>
      <c r="F26" s="311">
        <f>=D26-B26</f>
        <v>4019.174</v>
      </c>
      <c r="G26" s="297">
        <f>=D31</f>
        <v>288.122666666667</v>
      </c>
    </row>
    <row r="27" spans="1:7">
      <c r="A27" s="246" t="s">
        <v>17</v>
      </c>
      <c r="B27" s="238">
        <v>14980.65</v>
      </c>
      <c r="C27" s="288" t="s"/>
      <c r="D27" s="288" t="s"/>
      <c r="E27" s="246" t="s">
        <v>17</v>
      </c>
      <c r="F27" s="312">
        <f>=(D26-B27)</f>
        <v>-10937.226</v>
      </c>
      <c r="G27" s="288" t="s"/>
    </row>
    <row r="28" spans="1:7">
      <c r="A28" s="237" t="s">
        <v>18</v>
      </c>
      <c r="B28" s="238">
        <v>85.14</v>
      </c>
      <c r="C28" s="288" t="s"/>
      <c r="D28" s="288" t="s"/>
      <c r="E28" s="237" t="s">
        <v>18</v>
      </c>
      <c r="F28" s="311">
        <f>=D26-B28</f>
        <v>3958.284</v>
      </c>
      <c r="G28" s="292" t="s"/>
    </row>
    <row r="29" spans="1:7">
      <c r="A29" s="249" t="s">
        <v>20</v>
      </c>
      <c r="B29" s="313">
        <v>72.8</v>
      </c>
      <c r="C29" s="288" t="s"/>
      <c r="D29" s="288" t="s"/>
      <c r="F29" s="268">
        <f>=-B20</f>
        <v>-1266.64</v>
      </c>
      <c r="G29" s="251" t="s"/>
    </row>
    <row r="30" spans="2:7">
      <c r="B30" s="249" t="s"/>
      <c r="C30" s="292" t="s"/>
      <c r="D30" s="292" t="s"/>
      <c r="E30" s="249" t="s">
        <v>19</v>
      </c>
      <c r="F30" s="314">
        <f>=C26</f>
        <v>3032.568</v>
      </c>
      <c r="G30" s="251">
        <f>=C31</f>
        <v>216.092</v>
      </c>
    </row>
    <row r="31" spans="1:7">
      <c r="A31" s="252" t="s">
        <v>21</v>
      </c>
      <c r="B31" s="253">
        <v>1080.46</v>
      </c>
      <c r="C31" s="253">
        <f>=B31*0.2</f>
        <v>216.092</v>
      </c>
      <c r="D31" s="253">
        <f>=B31*0.8/3</f>
        <v>288.122666666667</v>
      </c>
      <c r="E31" s="252" t="s"/>
      <c r="F31" s="315" t="s"/>
      <c r="G31" s="254" t="s"/>
    </row>
    <row r="32" spans="1:7">
      <c r="A32" s="298" t="s">
        <v>45</v>
      </c>
      <c r="B32" s="316" t="s">
        <v>47</v>
      </c>
      <c r="C32" s="316" t="s">
        <v>11</v>
      </c>
      <c r="D32" s="316" t="s">
        <v>12</v>
      </c>
      <c r="E32" s="298" t="s">
        <v>13</v>
      </c>
      <c r="F32" s="317" t="s">
        <v>14</v>
      </c>
      <c r="G32" s="254" t="s"/>
    </row>
    <row r="33" spans="1:7">
      <c r="A33" s="298" t="s">
        <v>16</v>
      </c>
      <c r="B33" s="316">
        <v>10538</v>
      </c>
      <c r="C33" s="316">
        <f>=SUM(B33:B37)*0.2</f>
        <v>9734.8</v>
      </c>
      <c r="D33" s="316">
        <f>=SUM(B33:B37)*0.8/3</f>
        <v>12979.7333333333</v>
      </c>
      <c r="E33" s="237" t="s">
        <v>16</v>
      </c>
      <c r="F33" s="241">
        <f>=D33-B33</f>
        <v>2441.73333333334</v>
      </c>
      <c r="G33" s="254" t="s"/>
    </row>
    <row r="34" spans="1:7">
      <c r="A34" s="298" t="s">
        <v>17</v>
      </c>
      <c r="B34" s="316">
        <v>6609</v>
      </c>
      <c r="C34" s="318" t="s"/>
      <c r="D34" s="318" t="s"/>
      <c r="E34" s="246" t="s">
        <v>17</v>
      </c>
      <c r="F34" s="247">
        <f>=(D33-B34)</f>
        <v>6370.73333333334</v>
      </c>
      <c r="G34" s="254" t="s"/>
    </row>
    <row r="35" spans="1:7">
      <c r="A35" s="298" t="s">
        <v>18</v>
      </c>
      <c r="B35" s="316">
        <v>15642</v>
      </c>
      <c r="C35" s="318" t="s"/>
      <c r="D35" s="318" t="s"/>
      <c r="E35" s="237" t="s">
        <v>18</v>
      </c>
      <c r="F35" s="241">
        <f>=D33-B35</f>
        <v>-2662.26666666667</v>
      </c>
      <c r="G35" s="254" t="s"/>
    </row>
    <row r="36" spans="1:7">
      <c r="A36" s="298" t="s">
        <v>46</v>
      </c>
      <c r="B36" s="316">
        <v>8807</v>
      </c>
      <c r="C36" s="318" t="s"/>
      <c r="D36" s="318" t="s"/>
      <c r="F36" s="268">
        <f>=-B36</f>
        <v>-8807</v>
      </c>
      <c r="G36" s="254" t="s"/>
    </row>
    <row r="37" spans="1:7">
      <c r="A37" s="298" t="s">
        <v>51</v>
      </c>
      <c r="B37" s="316">
        <v>7078</v>
      </c>
      <c r="C37" s="316" t="s"/>
      <c r="D37" s="316" t="s"/>
      <c r="E37" s="249" t="s">
        <v>19</v>
      </c>
      <c r="F37" s="250">
        <f>=C33</f>
        <v>9734.8</v>
      </c>
      <c r="G37" s="254" t="s"/>
    </row>
    <row r="38" spans="1:7">
      <c r="A38" s="319" t="s">
        <v>25</v>
      </c>
      <c r="B38" s="279" t="s"/>
      <c r="C38" s="279" t="s"/>
      <c r="D38" s="279" t="s"/>
      <c r="E38" s="279" t="s"/>
      <c r="F38" s="320" t="s"/>
      <c r="G38" s="280" t="s"/>
    </row>
    <row r="39" spans="1:7">
      <c r="A39" s="285" t="s"/>
      <c r="B39" s="286" t="s"/>
      <c r="C39" s="286" t="s"/>
      <c r="D39" s="286" t="s"/>
      <c r="E39" s="286" t="s"/>
      <c r="F39" s="321" t="s"/>
      <c r="G39" s="287" t="s"/>
    </row>
    <row r="40" spans="1:7">
      <c r="A40" s="289" t="s"/>
      <c r="B40" s="290" t="s"/>
      <c r="C40" s="290" t="s"/>
      <c r="D40" s="290" t="s"/>
      <c r="E40" s="290" t="s"/>
      <c r="F40" s="322" t="s"/>
      <c r="G40" s="291" t="s"/>
    </row>
    <row r="41" spans="1:7">
      <c r="A41" s="232" t="s">
        <v>45</v>
      </c>
      <c r="B41" s="232" t="s">
        <v>10</v>
      </c>
      <c r="C41" s="232" t="s">
        <v>11</v>
      </c>
      <c r="D41" s="232" t="s">
        <v>12</v>
      </c>
      <c r="E41" s="232" t="s">
        <v>13</v>
      </c>
      <c r="F41" s="310" t="s">
        <v>14</v>
      </c>
      <c r="G41" s="232" t="s">
        <v>15</v>
      </c>
    </row>
    <row r="42" spans="1:7">
      <c r="A42" s="237" t="s">
        <v>16</v>
      </c>
      <c r="B42" s="238">
        <v>9.87</v>
      </c>
      <c r="C42" s="295">
        <f>=SUM(B42:B46)*0.2</f>
        <v>2958.49</v>
      </c>
      <c r="D42" s="296">
        <f>=SUM(B42:B46)*0.8/3</f>
        <v>3944.65333333333</v>
      </c>
      <c r="E42" s="237" t="s">
        <v>16</v>
      </c>
      <c r="F42" s="311">
        <f>=D42-B42</f>
        <v>3934.78333333333</v>
      </c>
      <c r="G42" s="297">
        <f>=D47</f>
        <v>250.330666666667</v>
      </c>
    </row>
    <row r="43" spans="1:6">
      <c r="A43" s="246" t="s">
        <v>17</v>
      </c>
      <c r="B43" s="238">
        <v>14657.18</v>
      </c>
      <c r="E43" s="246" t="s">
        <v>17</v>
      </c>
      <c r="F43" s="312">
        <f>=(D42-B43)</f>
        <v>-10712.5266666667</v>
      </c>
    </row>
    <row r="44" spans="1:6">
      <c r="A44" s="237" t="s">
        <v>18</v>
      </c>
      <c r="B44" s="316">
        <v>92.36</v>
      </c>
      <c r="E44" s="237" t="s">
        <v>18</v>
      </c>
      <c r="F44" s="311">
        <f>=D42-B44</f>
        <v>3852.29333333333</v>
      </c>
    </row>
    <row r="45" spans="1:7">
      <c r="A45" s="248" t="s">
        <v>20</v>
      </c>
      <c r="B45" s="274">
        <v>33.04</v>
      </c>
      <c r="F45" s="323">
        <f>=-B30</f>
        <v>0</v>
      </c>
      <c r="G45" s="251" t="s"/>
    </row>
    <row r="46" spans="2:7">
      <c r="B46" s="249" t="s"/>
      <c r="E46" s="249" t="s">
        <v>19</v>
      </c>
      <c r="F46" s="314">
        <f>=C42</f>
        <v>2958.49</v>
      </c>
      <c r="G46" s="251">
        <f>=C47</f>
        <v>187.748</v>
      </c>
    </row>
    <row r="47" spans="1:7">
      <c r="A47" s="252" t="s">
        <v>21</v>
      </c>
      <c r="B47" s="253">
        <v>938.74</v>
      </c>
      <c r="C47" s="253">
        <f>=B47*0.2</f>
        <v>187.748</v>
      </c>
      <c r="D47" s="253">
        <f>=B47*0.8/3</f>
        <v>250.330666666667</v>
      </c>
      <c r="E47" s="252" t="s"/>
      <c r="F47" s="315" t="s"/>
      <c r="G47" s="254" t="s"/>
    </row>
    <row r="48" spans="1:1">
      <c r="A48" s="276" t="s">
        <v>26</v>
      </c>
    </row>
    <row r="51" spans="1:7">
      <c r="A51" s="232" t="s">
        <v>45</v>
      </c>
      <c r="B51" s="232" t="s">
        <v>10</v>
      </c>
      <c r="C51" s="232" t="s">
        <v>11</v>
      </c>
      <c r="D51" s="232" t="s">
        <v>12</v>
      </c>
      <c r="E51" s="232" t="s">
        <v>13</v>
      </c>
      <c r="F51" s="233" t="s">
        <v>14</v>
      </c>
      <c r="G51" s="232" t="s">
        <v>15</v>
      </c>
    </row>
    <row r="52" spans="1:7">
      <c r="A52" s="237" t="s">
        <v>16</v>
      </c>
      <c r="B52" s="238">
        <v>5.61</v>
      </c>
      <c r="C52" s="295">
        <f>=SUM(B52:B56)*0.2</f>
        <v>2806.628</v>
      </c>
      <c r="D52" s="296">
        <f>=SUM(B52:B56)*0.8/3</f>
        <v>3742.17066666667</v>
      </c>
      <c r="E52" s="237" t="s">
        <v>16</v>
      </c>
      <c r="F52" s="241">
        <f>=D52-B52</f>
        <v>3736.56066666667</v>
      </c>
      <c r="G52" s="297">
        <f>=D57</f>
        <v>292.04</v>
      </c>
    </row>
    <row r="53" spans="1:6">
      <c r="A53" s="246" t="s">
        <v>17</v>
      </c>
      <c r="B53" s="238">
        <v>14006.61</v>
      </c>
      <c r="E53" s="246" t="s">
        <v>17</v>
      </c>
      <c r="F53" s="247">
        <f>=(D52-B53)</f>
        <v>-10264.4393333333</v>
      </c>
    </row>
    <row r="54" spans="1:6">
      <c r="A54" s="237" t="s">
        <v>18</v>
      </c>
      <c r="B54" s="257">
        <v>14.61</v>
      </c>
      <c r="E54" s="237" t="s">
        <v>18</v>
      </c>
      <c r="F54" s="241">
        <f>=D52-B54</f>
        <v>3727.56066666667</v>
      </c>
    </row>
    <row r="55" spans="1:7">
      <c r="A55" s="248" t="s">
        <v>20</v>
      </c>
      <c r="B55" s="274">
        <v>6.31</v>
      </c>
      <c r="F55" s="324">
        <f>=-B46</f>
        <v>0</v>
      </c>
      <c r="G55" s="251" t="s"/>
    </row>
    <row r="56" spans="1:7">
      <c r="A56" s="325" t="s"/>
      <c r="B56" s="249" t="s"/>
      <c r="E56" s="249" t="s">
        <v>19</v>
      </c>
      <c r="F56" s="250">
        <f>=C52</f>
        <v>2806.628</v>
      </c>
      <c r="G56" s="251">
        <f>=C57</f>
        <v>219.03</v>
      </c>
    </row>
    <row r="57" spans="1:7">
      <c r="A57" s="252" t="s">
        <v>21</v>
      </c>
      <c r="B57" s="253">
        <v>1095.15</v>
      </c>
      <c r="C57" s="253">
        <f>=B57*0.2</f>
        <v>219.03</v>
      </c>
      <c r="D57" s="253">
        <f>=B57*0.8/3</f>
        <v>292.04</v>
      </c>
      <c r="E57" s="252" t="s"/>
      <c r="F57" s="252" t="s"/>
      <c r="G57" s="254" t="s"/>
    </row>
    <row r="58" spans="1:1">
      <c r="A58" s="276" t="s">
        <v>27</v>
      </c>
    </row>
    <row r="61" spans="1:7">
      <c r="A61" s="232" t="s">
        <v>45</v>
      </c>
      <c r="B61" s="232" t="s">
        <v>10</v>
      </c>
      <c r="C61" s="232" t="s">
        <v>11</v>
      </c>
      <c r="D61" s="232" t="s">
        <v>12</v>
      </c>
      <c r="E61" s="232" t="s">
        <v>13</v>
      </c>
      <c r="F61" s="233" t="s">
        <v>14</v>
      </c>
      <c r="G61" s="232" t="s">
        <v>15</v>
      </c>
    </row>
    <row r="62" spans="1:7">
      <c r="A62" s="237" t="s">
        <v>16</v>
      </c>
      <c r="B62" s="238">
        <v>1602.44</v>
      </c>
      <c r="C62" s="258">
        <f>=SUM(B62:B66)*0.2</f>
        <v>3301.722</v>
      </c>
      <c r="D62" s="259">
        <f>=SUM(B62:B66)*0.8/3</f>
        <v>4402.296</v>
      </c>
      <c r="E62" s="237" t="s">
        <v>16</v>
      </c>
      <c r="F62" s="241">
        <f>=D62-B62</f>
        <v>2799.856</v>
      </c>
      <c r="G62" s="241">
        <f>=D67</f>
        <v>309.418666666667</v>
      </c>
    </row>
    <row r="63" spans="1:6">
      <c r="A63" s="246" t="s">
        <v>17</v>
      </c>
      <c r="B63" s="238">
        <v>12744.53</v>
      </c>
      <c r="E63" s="246" t="s">
        <v>17</v>
      </c>
      <c r="F63" s="247">
        <f>=(D62-B63)</f>
        <v>-8342.234</v>
      </c>
    </row>
    <row r="64" spans="1:6">
      <c r="A64" s="237" t="s">
        <v>18</v>
      </c>
      <c r="B64" s="238">
        <v>2098.82</v>
      </c>
      <c r="E64" s="237" t="s">
        <v>18</v>
      </c>
      <c r="F64" s="241">
        <f>=D62-B64</f>
        <v>2303.476</v>
      </c>
    </row>
    <row r="65" spans="1:7">
      <c r="A65" s="249" t="s">
        <v>20</v>
      </c>
      <c r="B65" s="274">
        <v>62.82</v>
      </c>
      <c r="F65" s="324">
        <f>=-B56</f>
        <v>0</v>
      </c>
      <c r="G65" s="251" t="s"/>
    </row>
    <row r="66" spans="2:7">
      <c r="B66" s="249" t="s"/>
      <c r="E66" s="249" t="s">
        <v>19</v>
      </c>
      <c r="F66" s="250">
        <f>=C62</f>
        <v>3301.722</v>
      </c>
      <c r="G66" s="251">
        <f>=C67</f>
        <v>232.064</v>
      </c>
    </row>
    <row r="67" spans="1:7">
      <c r="A67" s="252" t="s">
        <v>21</v>
      </c>
      <c r="B67" s="253">
        <v>1160.32</v>
      </c>
      <c r="C67" s="253">
        <f>=B67*0.2</f>
        <v>232.064</v>
      </c>
      <c r="D67" s="253">
        <f>=B67*0.8/3</f>
        <v>309.418666666667</v>
      </c>
      <c r="E67" s="252" t="s"/>
      <c r="F67" s="252" t="s"/>
      <c r="G67" s="254" t="s"/>
    </row>
    <row r="68" spans="1:7">
      <c r="A68" s="319" t="s">
        <v>28</v>
      </c>
      <c r="B68" s="279" t="s"/>
      <c r="C68" s="279" t="s"/>
      <c r="D68" s="279" t="s"/>
      <c r="E68" s="279" t="s"/>
      <c r="F68" s="320" t="s"/>
      <c r="G68" s="280" t="s"/>
    </row>
    <row r="69" spans="1:7">
      <c r="A69" s="285" t="s"/>
      <c r="B69" s="286" t="s"/>
      <c r="C69" s="286" t="s"/>
      <c r="D69" s="286" t="s"/>
      <c r="E69" s="286" t="s"/>
      <c r="F69" s="321" t="s"/>
      <c r="G69" s="287" t="s"/>
    </row>
    <row r="70" spans="1:7">
      <c r="A70" s="289" t="s"/>
      <c r="B70" s="290" t="s"/>
      <c r="C70" s="290" t="s"/>
      <c r="D70" s="290" t="s"/>
      <c r="E70" s="290" t="s"/>
      <c r="F70" s="322" t="s"/>
      <c r="G70" s="291" t="s"/>
    </row>
    <row r="71" spans="1:7">
      <c r="A71" s="232" t="s">
        <v>45</v>
      </c>
      <c r="B71" s="232" t="s">
        <v>10</v>
      </c>
      <c r="C71" s="232" t="s">
        <v>11</v>
      </c>
      <c r="D71" s="232" t="s">
        <v>12</v>
      </c>
      <c r="E71" s="232" t="s">
        <v>13</v>
      </c>
      <c r="F71" s="310" t="s">
        <v>14</v>
      </c>
      <c r="G71" s="232" t="s">
        <v>15</v>
      </c>
    </row>
    <row r="72" spans="1:7">
      <c r="A72" s="237" t="s">
        <v>16</v>
      </c>
      <c r="B72" s="238">
        <v>15559.39</v>
      </c>
      <c r="C72" s="295">
        <f>=SUM(B72:B76)*0.2</f>
        <v>9067.396</v>
      </c>
      <c r="D72" s="296">
        <f>=SUM(B72:B76)*0.8/3</f>
        <v>12089.8613333333</v>
      </c>
      <c r="E72" s="237" t="s">
        <v>16</v>
      </c>
      <c r="F72" s="311">
        <f>=D72-B72</f>
        <v>-3469.52866666667</v>
      </c>
      <c r="G72" s="297">
        <f>=D77</f>
        <v>459.669333333333</v>
      </c>
    </row>
    <row r="73" spans="1:7">
      <c r="A73" s="246" t="s">
        <v>17</v>
      </c>
      <c r="B73" s="238">
        <v>10194.69</v>
      </c>
      <c r="C73" s="288" t="s"/>
      <c r="D73" s="288" t="s"/>
      <c r="E73" s="246" t="s">
        <v>17</v>
      </c>
      <c r="F73" s="312">
        <f>=(D72-B73)</f>
        <v>1895.17133333333</v>
      </c>
      <c r="G73" s="288" t="s"/>
    </row>
    <row r="74" spans="1:7">
      <c r="A74" s="237" t="s">
        <v>18</v>
      </c>
      <c r="B74" s="238">
        <v>19558.18</v>
      </c>
      <c r="C74" s="288" t="s"/>
      <c r="D74" s="288" t="s"/>
      <c r="E74" s="237" t="s">
        <v>18</v>
      </c>
      <c r="F74" s="311">
        <f>=D72-B74</f>
        <v>-7468.31866666667</v>
      </c>
      <c r="G74" s="292" t="s"/>
    </row>
    <row r="75" spans="1:7">
      <c r="A75" s="300" t="s">
        <v>20</v>
      </c>
      <c r="B75" s="313">
        <v>24.72</v>
      </c>
      <c r="C75" s="288" t="s"/>
      <c r="D75" s="288" t="s"/>
      <c r="F75" s="323">
        <f>=-B66</f>
        <v>0</v>
      </c>
      <c r="G75" s="251" t="s"/>
    </row>
    <row r="76" spans="2:7">
      <c r="B76" s="249" t="s"/>
      <c r="C76" s="292" t="s"/>
      <c r="D76" s="292" t="s"/>
      <c r="E76" s="249" t="s">
        <v>19</v>
      </c>
      <c r="F76" s="314">
        <f>=C72</f>
        <v>9067.396</v>
      </c>
      <c r="G76" s="251">
        <f>=C77</f>
        <v>344.752</v>
      </c>
    </row>
    <row r="77" spans="1:7">
      <c r="A77" s="252" t="s">
        <v>21</v>
      </c>
      <c r="B77" s="253">
        <v>1723.76</v>
      </c>
      <c r="C77" s="253">
        <f>=B77*0.2</f>
        <v>344.752</v>
      </c>
      <c r="D77" s="253">
        <f>=B77*0.8/3</f>
        <v>459.669333333333</v>
      </c>
      <c r="E77" s="252" t="s"/>
      <c r="F77" s="315" t="s"/>
      <c r="G77" s="254" t="s"/>
    </row>
    <row r="78" spans="1:1">
      <c r="A78" s="255" t="s">
        <v>29</v>
      </c>
    </row>
    <row r="81" spans="1:7">
      <c r="A81" s="232" t="s">
        <v>45</v>
      </c>
      <c r="B81" s="232" t="s">
        <v>10</v>
      </c>
      <c r="C81" s="232" t="s">
        <v>11</v>
      </c>
      <c r="D81" s="232" t="s">
        <v>12</v>
      </c>
      <c r="E81" s="232" t="s">
        <v>13</v>
      </c>
      <c r="F81" s="233" t="s">
        <v>14</v>
      </c>
      <c r="G81" s="232" t="s">
        <v>15</v>
      </c>
    </row>
    <row r="82" spans="1:7">
      <c r="A82" s="237" t="s">
        <v>16</v>
      </c>
      <c r="B82" s="238">
        <v>8206</v>
      </c>
      <c r="C82" s="258">
        <f>=SUM(B82:B86)*0.2</f>
        <v>4581.646</v>
      </c>
      <c r="D82" s="259">
        <f>=SUM(B82:B86)*0.8/3</f>
        <v>6108.86133333333</v>
      </c>
      <c r="E82" s="237" t="s">
        <v>16</v>
      </c>
      <c r="F82" s="241">
        <f>=D82-B82</f>
        <v>-2097.13866666667</v>
      </c>
      <c r="G82" s="241">
        <f>=D87</f>
        <v>256.466666666667</v>
      </c>
    </row>
    <row r="83" spans="1:6">
      <c r="A83" s="246" t="s">
        <v>17</v>
      </c>
      <c r="B83" s="238">
        <v>7008.54</v>
      </c>
      <c r="E83" s="246" t="s">
        <v>17</v>
      </c>
      <c r="F83" s="247">
        <f>=(D82-B83)</f>
        <v>-899.678666666667</v>
      </c>
    </row>
    <row r="84" spans="1:6">
      <c r="A84" s="237" t="s">
        <v>18</v>
      </c>
      <c r="B84" s="238">
        <v>7693.69</v>
      </c>
      <c r="E84" s="237" t="s">
        <v>18</v>
      </c>
      <c r="F84" s="241">
        <f>=D82-B84</f>
        <v>-1584.82866666667</v>
      </c>
    </row>
    <row r="85" spans="1:7">
      <c r="A85" s="249" t="s">
        <v>20</v>
      </c>
      <c r="B85" s="274" t="s"/>
      <c r="F85" s="324">
        <f>=-B76</f>
        <v>0</v>
      </c>
      <c r="G85" s="251" t="s"/>
    </row>
    <row r="86" spans="2:7">
      <c r="B86" s="249" t="s"/>
      <c r="E86" s="249" t="s">
        <v>19</v>
      </c>
      <c r="F86" s="250">
        <f>=C82</f>
        <v>4581.646</v>
      </c>
      <c r="G86" s="251">
        <f>=C87</f>
        <v>192.35</v>
      </c>
    </row>
    <row r="87" spans="1:7">
      <c r="A87" s="252" t="s">
        <v>21</v>
      </c>
      <c r="B87" s="253">
        <v>961.75</v>
      </c>
      <c r="C87" s="253">
        <f>=B87*0.2</f>
        <v>192.35</v>
      </c>
      <c r="D87" s="253">
        <f>=B87*0.8/3</f>
        <v>256.466666666667</v>
      </c>
      <c r="E87" s="252" t="s"/>
      <c r="F87" s="252" t="s"/>
      <c r="G87" s="254" t="s"/>
    </row>
    <row r="88" spans="1:1">
      <c r="A88" s="255" t="s">
        <v>30</v>
      </c>
    </row>
    <row r="91" spans="1:7">
      <c r="A91" s="232" t="s">
        <v>45</v>
      </c>
      <c r="B91" s="232" t="s">
        <v>10</v>
      </c>
      <c r="C91" s="232" t="s">
        <v>11</v>
      </c>
      <c r="D91" s="232" t="s">
        <v>12</v>
      </c>
      <c r="E91" s="232" t="s">
        <v>13</v>
      </c>
      <c r="F91" s="233" t="s">
        <v>14</v>
      </c>
      <c r="G91" s="232" t="s">
        <v>15</v>
      </c>
    </row>
    <row r="92" spans="1:7">
      <c r="A92" s="237" t="s">
        <v>16</v>
      </c>
      <c r="B92" s="238">
        <v>6845.87</v>
      </c>
      <c r="C92" s="258">
        <f>=SUM(B92:B96)*0.2</f>
        <v>4471.67</v>
      </c>
      <c r="D92" s="259">
        <f>=SUM(B92:B96)*0.8/3</f>
        <v>5962.22666666667</v>
      </c>
      <c r="E92" s="237" t="s">
        <v>16</v>
      </c>
      <c r="F92" s="241">
        <f>=D92-B92</f>
        <v>-883.643333333334</v>
      </c>
      <c r="G92" s="241">
        <f>=D97</f>
        <v>200.290666666667</v>
      </c>
    </row>
    <row r="93" spans="1:6">
      <c r="A93" s="246" t="s">
        <v>17</v>
      </c>
      <c r="B93" s="238">
        <v>7909.58</v>
      </c>
      <c r="E93" s="246" t="s">
        <v>17</v>
      </c>
      <c r="F93" s="247">
        <f>=(D92-B93)</f>
        <v>-1947.35333333333</v>
      </c>
    </row>
    <row r="94" spans="1:6">
      <c r="A94" s="237" t="s">
        <v>18</v>
      </c>
      <c r="B94" s="238">
        <v>7602.9</v>
      </c>
      <c r="E94" s="237" t="s">
        <v>18</v>
      </c>
      <c r="F94" s="241">
        <f>=D92-B94</f>
        <v>-1640.67333333333</v>
      </c>
    </row>
    <row r="95" spans="1:7">
      <c r="A95" s="249" t="s">
        <v>20</v>
      </c>
      <c r="B95" s="274" t="s"/>
      <c r="F95" s="324">
        <f>=-B86</f>
        <v>0</v>
      </c>
      <c r="G95" s="251" t="s"/>
    </row>
    <row r="96" spans="2:7">
      <c r="B96" s="249" t="s"/>
      <c r="E96" s="249" t="s">
        <v>19</v>
      </c>
      <c r="F96" s="250">
        <f>=C92</f>
        <v>4471.67</v>
      </c>
      <c r="G96" s="251">
        <f>=C97</f>
        <v>150.218</v>
      </c>
    </row>
    <row r="97" spans="1:7">
      <c r="A97" s="252" t="s">
        <v>21</v>
      </c>
      <c r="B97" s="253">
        <v>751.09</v>
      </c>
      <c r="C97" s="253">
        <f>=B97*0.2</f>
        <v>150.218</v>
      </c>
      <c r="D97" s="253">
        <f>=B97*0.8/3</f>
        <v>200.290666666667</v>
      </c>
      <c r="E97" s="252" t="s"/>
      <c r="F97" s="252" t="s"/>
      <c r="G97" s="254" t="s"/>
    </row>
    <row r="98" spans="1:1">
      <c r="A98" s="255" t="s">
        <v>31</v>
      </c>
    </row>
    <row r="101" spans="1:7">
      <c r="A101" s="232" t="s">
        <v>45</v>
      </c>
      <c r="B101" s="232" t="s">
        <v>10</v>
      </c>
      <c r="C101" s="232" t="s">
        <v>11</v>
      </c>
      <c r="D101" s="232" t="s">
        <v>12</v>
      </c>
      <c r="E101" s="232" t="s">
        <v>13</v>
      </c>
      <c r="F101" s="233" t="s">
        <v>14</v>
      </c>
      <c r="G101" s="232" t="s">
        <v>15</v>
      </c>
    </row>
    <row r="102" spans="1:7">
      <c r="A102" s="237" t="s">
        <v>16</v>
      </c>
      <c r="B102" s="238">
        <v>9041.64</v>
      </c>
      <c r="C102" s="258">
        <f>=SUM(B102:B106)*0.2</f>
        <v>5542.806</v>
      </c>
      <c r="D102" s="259">
        <f>=SUM(B102:B106)*0.8/3</f>
        <v>7390.408</v>
      </c>
      <c r="E102" s="237" t="s">
        <v>16</v>
      </c>
      <c r="F102" s="241">
        <f>=D102-B102</f>
        <v>-1651.232</v>
      </c>
      <c r="G102" s="241">
        <f>=D107</f>
        <v>227.04</v>
      </c>
    </row>
    <row r="103" spans="1:6">
      <c r="A103" s="246" t="s">
        <v>17</v>
      </c>
      <c r="B103" s="238">
        <v>10349.05</v>
      </c>
      <c r="E103" s="246" t="s">
        <v>17</v>
      </c>
      <c r="F103" s="247">
        <f>=(D102-B103)</f>
        <v>-2958.642</v>
      </c>
    </row>
    <row r="104" spans="1:6">
      <c r="A104" s="237" t="s">
        <v>18</v>
      </c>
      <c r="B104" s="238">
        <v>8323.34</v>
      </c>
      <c r="E104" s="237" t="s">
        <v>18</v>
      </c>
      <c r="F104" s="241">
        <f>=D102-B104</f>
        <v>-932.932</v>
      </c>
    </row>
    <row r="105" spans="1:7">
      <c r="A105" s="249" t="s">
        <v>20</v>
      </c>
      <c r="B105" s="274" t="s"/>
      <c r="F105" s="324">
        <f>=-B96</f>
        <v>0</v>
      </c>
      <c r="G105" s="251" t="s"/>
    </row>
    <row r="106" spans="2:7">
      <c r="B106" s="249" t="s"/>
      <c r="E106" s="249" t="s">
        <v>19</v>
      </c>
      <c r="F106" s="250">
        <f>=C102</f>
        <v>5542.806</v>
      </c>
      <c r="G106" s="251">
        <f>=C107</f>
        <v>170.28</v>
      </c>
    </row>
    <row r="107" spans="1:7">
      <c r="A107" s="252" t="s">
        <v>21</v>
      </c>
      <c r="B107" s="253">
        <v>851.4</v>
      </c>
      <c r="C107" s="253">
        <f>=B107*0.2</f>
        <v>170.28</v>
      </c>
      <c r="D107" s="253">
        <f>=B107*0.8/3</f>
        <v>227.04</v>
      </c>
      <c r="E107" s="252" t="s"/>
      <c r="F107" s="252" t="s"/>
      <c r="G107" s="254" t="s"/>
    </row>
    <row r="108" spans="1:1">
      <c r="A108" s="255" t="s">
        <v>32</v>
      </c>
    </row>
    <row r="111" spans="1:7">
      <c r="A111" s="232" t="s">
        <v>45</v>
      </c>
      <c r="B111" s="232" t="s">
        <v>10</v>
      </c>
      <c r="C111" s="232" t="s">
        <v>11</v>
      </c>
      <c r="D111" s="232" t="s">
        <v>12</v>
      </c>
      <c r="E111" s="232" t="s">
        <v>13</v>
      </c>
      <c r="F111" s="233" t="s">
        <v>14</v>
      </c>
      <c r="G111" s="232" t="s">
        <v>15</v>
      </c>
    </row>
    <row r="112" spans="1:7">
      <c r="A112" s="237" t="s">
        <v>16</v>
      </c>
      <c r="B112" s="238">
        <v>14882.03</v>
      </c>
      <c r="C112" s="258">
        <f>=SUM(B112:B116)*0.2</f>
        <v>6994.572</v>
      </c>
      <c r="D112" s="259">
        <f>=SUM(B112:B116)*0.8/3</f>
        <v>9326.096</v>
      </c>
      <c r="E112" s="237" t="s">
        <v>16</v>
      </c>
      <c r="F112" s="241">
        <f>=D112-B112</f>
        <v>-5555.934</v>
      </c>
      <c r="G112" s="241">
        <f>=D117</f>
        <v>187.877333333333</v>
      </c>
    </row>
    <row r="113" spans="1:6">
      <c r="A113" s="246" t="s">
        <v>17</v>
      </c>
      <c r="B113" s="238">
        <v>5271.32</v>
      </c>
      <c r="E113" s="246" t="s">
        <v>17</v>
      </c>
      <c r="F113" s="247">
        <f>=(D112-B113)</f>
        <v>4054.776</v>
      </c>
    </row>
    <row r="114" spans="1:6">
      <c r="A114" s="237" t="s">
        <v>18</v>
      </c>
      <c r="B114" s="238">
        <v>14819.51</v>
      </c>
      <c r="E114" s="237" t="s">
        <v>18</v>
      </c>
      <c r="F114" s="241">
        <f>=D112-B114</f>
        <v>-5493.414</v>
      </c>
    </row>
    <row r="115" spans="1:7">
      <c r="A115" s="249" t="s">
        <v>20</v>
      </c>
      <c r="B115" s="274" t="s"/>
      <c r="F115" s="324">
        <f>=-B106</f>
        <v>0</v>
      </c>
      <c r="G115" s="251" t="s"/>
    </row>
    <row r="116" spans="2:7">
      <c r="B116" s="249" t="s"/>
      <c r="E116" s="249" t="s">
        <v>19</v>
      </c>
      <c r="F116" s="250">
        <f>=C112</f>
        <v>6994.572</v>
      </c>
      <c r="G116" s="251">
        <f>=C117</f>
        <v>140.908</v>
      </c>
    </row>
    <row r="117" spans="1:7">
      <c r="A117" s="252" t="s">
        <v>21</v>
      </c>
      <c r="B117" s="253">
        <v>704.54</v>
      </c>
      <c r="C117" s="253">
        <f>=B117*0.2</f>
        <v>140.908</v>
      </c>
      <c r="D117" s="253">
        <f>=B117*0.8/3</f>
        <v>187.877333333333</v>
      </c>
      <c r="E117" s="252" t="s"/>
      <c r="F117" s="252" t="s"/>
      <c r="G117" s="254" t="s"/>
    </row>
    <row r="118" spans="1:1">
      <c r="A118" s="255" t="s">
        <v>33</v>
      </c>
    </row>
    <row r="121" spans="1:7">
      <c r="A121" s="232" t="s">
        <v>45</v>
      </c>
      <c r="B121" s="232" t="s">
        <v>10</v>
      </c>
      <c r="C121" s="232" t="s">
        <v>11</v>
      </c>
      <c r="D121" s="232" t="s">
        <v>12</v>
      </c>
      <c r="E121" s="232" t="s">
        <v>13</v>
      </c>
      <c r="F121" s="233" t="s">
        <v>14</v>
      </c>
      <c r="G121" s="232" t="s">
        <v>15</v>
      </c>
    </row>
    <row r="122" spans="1:7">
      <c r="A122" s="237" t="s">
        <v>16</v>
      </c>
      <c r="B122" s="238">
        <v>34156.57</v>
      </c>
      <c r="C122" s="258">
        <f>=SUM(B122:B126)*0.2</f>
        <v>13062.966</v>
      </c>
      <c r="D122" s="259">
        <f>=SUM(B122:B126)*0.8/3</f>
        <v>17417.288</v>
      </c>
      <c r="E122" s="237" t="s">
        <v>16</v>
      </c>
      <c r="F122" s="241">
        <f>=D122-B122</f>
        <v>-16739.282</v>
      </c>
      <c r="G122" s="241">
        <f>=D127</f>
        <v>825.493333333334</v>
      </c>
    </row>
    <row r="123" spans="1:6">
      <c r="A123" s="246" t="s">
        <v>17</v>
      </c>
      <c r="B123" s="238">
        <v>5813.23</v>
      </c>
      <c r="E123" s="246" t="s">
        <v>17</v>
      </c>
      <c r="F123" s="247">
        <f>=(D122-B123)</f>
        <v>11604.058</v>
      </c>
    </row>
    <row r="124" spans="1:6">
      <c r="A124" s="237" t="s">
        <v>18</v>
      </c>
      <c r="B124" s="238">
        <v>25345.03</v>
      </c>
      <c r="E124" s="237" t="s">
        <v>18</v>
      </c>
      <c r="F124" s="241">
        <f>=D122-B124</f>
        <v>-7927.742</v>
      </c>
    </row>
    <row r="125" spans="1:7">
      <c r="A125" s="249" t="s">
        <v>20</v>
      </c>
      <c r="B125" s="274" t="s"/>
      <c r="F125" s="324" t="s"/>
      <c r="G125" s="251" t="s"/>
    </row>
    <row r="126" spans="2:7">
      <c r="B126" s="249" t="s"/>
      <c r="E126" s="249" t="s">
        <v>19</v>
      </c>
      <c r="F126" s="250">
        <f>=C122</f>
        <v>13062.966</v>
      </c>
      <c r="G126" s="251">
        <f>=C127</f>
        <v>619.12</v>
      </c>
    </row>
    <row r="127" spans="1:7">
      <c r="A127" s="252" t="s">
        <v>21</v>
      </c>
      <c r="B127" s="253">
        <v>3095.6</v>
      </c>
      <c r="C127" s="253">
        <f>=B127*0.2</f>
        <v>619.12</v>
      </c>
      <c r="D127" s="253">
        <f>=B127*0.8/3</f>
        <v>825.493333333334</v>
      </c>
      <c r="E127" s="252" t="s"/>
      <c r="F127" s="252" t="s"/>
      <c r="G127" s="254" t="s"/>
    </row>
  </sheetData>
  <mergeCells count="56">
    <mergeCell ref="A2:F4"/>
    <mergeCell ref="G2:G4"/>
    <mergeCell ref="H2:H4"/>
    <mergeCell ref="I2:I4"/>
    <mergeCell ref="C6:C10"/>
    <mergeCell ref="D6:D10"/>
    <mergeCell ref="A9:B9"/>
    <mergeCell ref="G6:G8"/>
    <mergeCell ref="C26:C30"/>
    <mergeCell ref="D26:D30"/>
    <mergeCell ref="G26:G28"/>
    <mergeCell ref="A38:G40"/>
    <mergeCell ref="A48:G50"/>
    <mergeCell ref="A58:G60"/>
    <mergeCell ref="A68:G70"/>
    <mergeCell ref="A78:G80"/>
    <mergeCell ref="A88:G90"/>
    <mergeCell ref="A98:G100"/>
    <mergeCell ref="A108:G110"/>
    <mergeCell ref="A118:G120"/>
    <mergeCell ref="A12:G14"/>
    <mergeCell ref="C16:C20"/>
    <mergeCell ref="D16:D20"/>
    <mergeCell ref="G16:G18"/>
    <mergeCell ref="A19:B19"/>
    <mergeCell ref="A22:G24"/>
    <mergeCell ref="C42:C46"/>
    <mergeCell ref="D42:D46"/>
    <mergeCell ref="G42:G44"/>
    <mergeCell ref="C52:C56"/>
    <mergeCell ref="D52:D56"/>
    <mergeCell ref="G52:G54"/>
    <mergeCell ref="C62:C66"/>
    <mergeCell ref="D62:D66"/>
    <mergeCell ref="G62:G64"/>
    <mergeCell ref="C72:C76"/>
    <mergeCell ref="D72:D76"/>
    <mergeCell ref="G72:G74"/>
    <mergeCell ref="C82:C86"/>
    <mergeCell ref="D82:D86"/>
    <mergeCell ref="G82:G84"/>
    <mergeCell ref="C92:C96"/>
    <mergeCell ref="D92:D96"/>
    <mergeCell ref="G92:G94"/>
    <mergeCell ref="C102:C106"/>
    <mergeCell ref="D102:D106"/>
    <mergeCell ref="G102:G104"/>
    <mergeCell ref="C112:C116"/>
    <mergeCell ref="D112:D116"/>
    <mergeCell ref="G112:G114"/>
    <mergeCell ref="C122:C126"/>
    <mergeCell ref="D122:D126"/>
    <mergeCell ref="G122:G124"/>
    <mergeCell ref="C33:C36"/>
    <mergeCell ref="D33:D36"/>
    <mergeCell ref="J2:J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2026-04-23T01:56:56Z</dcterms:created>
  <dcterms:modified xsi:type="dcterms:W3CDTF">2026-04-23T01:56:56Z</dcterms:modified>
</cp:coreProperties>
</file>